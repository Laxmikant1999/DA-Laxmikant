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myn pdf\Data Analytics\Project\"/>
    </mc:Choice>
  </mc:AlternateContent>
  <xr:revisionPtr revIDLastSave="0" documentId="13_ncr:1_{EDEA3456-DDF4-405A-99D2-55874B9D2708}" xr6:coauthVersionLast="47" xr6:coauthVersionMax="47" xr10:uidLastSave="{00000000-0000-0000-0000-000000000000}"/>
  <bookViews>
    <workbookView xWindow="-108" yWindow="-108" windowWidth="23256" windowHeight="12456" xr2:uid="{61530C6C-6F0E-47FB-B3F4-41ACB5A03175}"/>
  </bookViews>
  <sheets>
    <sheet name="Dashboard" sheetId="3" r:id="rId1"/>
    <sheet name="Sheet2" sheetId="2" r:id="rId2"/>
    <sheet name="Sheet1" sheetId="1" r:id="rId3"/>
  </sheets>
  <definedNames>
    <definedName name="Slicer_Date">#N/A</definedName>
    <definedName name="Slicer_Region">#N/A</definedName>
    <definedName name="Slicer_Sales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3" l="1"/>
  <c r="H6" i="3"/>
  <c r="L6" i="3"/>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<sst xmlns="http://schemas.openxmlformats.org/spreadsheetml/2006/main" count="382" uniqueCount="80">
  <si>
    <t>Date</t>
  </si>
  <si>
    <t>Region</t>
  </si>
  <si>
    <t>Salesperson</t>
  </si>
  <si>
    <t>Product</t>
  </si>
  <si>
    <t>Quantity Sold</t>
  </si>
  <si>
    <t>Sales Amount</t>
  </si>
  <si>
    <t>Discount (%)</t>
  </si>
  <si>
    <t>Profit Margin (%)</t>
  </si>
  <si>
    <t>Total Sales Amount</t>
  </si>
  <si>
    <t>East</t>
  </si>
  <si>
    <t>Arun Kumar</t>
  </si>
  <si>
    <t>Product X</t>
  </si>
  <si>
    <t>West</t>
  </si>
  <si>
    <t>Priya Sharma</t>
  </si>
  <si>
    <t>Product Y</t>
  </si>
  <si>
    <t>North</t>
  </si>
  <si>
    <t>Rajesh Patel</t>
  </si>
  <si>
    <t>South</t>
  </si>
  <si>
    <t>Meera Reddy</t>
  </si>
  <si>
    <t>Product Z</t>
  </si>
  <si>
    <t>Dashboard Questions &amp; Visualization Suggestions</t>
  </si>
  <si>
    <t>1. Date</t>
  </si>
  <si>
    <r>
      <t>What to Do</t>
    </r>
    <r>
      <rPr>
        <sz val="11"/>
        <color theme="1"/>
        <rFont val="Calibri"/>
        <family val="2"/>
        <scheme val="minor"/>
      </rPr>
      <t>: Analyze sales trends over time.</t>
    </r>
  </si>
  <si>
    <r>
      <t>Visualizations</t>
    </r>
    <r>
      <rPr>
        <sz val="11"/>
        <color theme="1"/>
        <rFont val="Calibri"/>
        <family val="2"/>
        <scheme val="minor"/>
      </rPr>
      <t>: Line chart - Quantity Sold,  Area chart - showing Sales Amount over the dates.</t>
    </r>
  </si>
  <si>
    <t>2. Region</t>
  </si>
  <si>
    <r>
      <t>What to Do</t>
    </r>
    <r>
      <rPr>
        <sz val="11"/>
        <color theme="1"/>
        <rFont val="Calibri"/>
        <family val="2"/>
        <scheme val="minor"/>
      </rPr>
      <t>: Compare sales performance across different regions.</t>
    </r>
  </si>
  <si>
    <r>
      <t>Visualizations</t>
    </r>
    <r>
      <rPr>
        <sz val="11"/>
        <color theme="1"/>
        <rFont val="Calibri"/>
        <family val="2"/>
        <scheme val="minor"/>
      </rPr>
      <t>: Bar chart - Total Sales Amount, pie chart - Quantity Sold, by Region.</t>
    </r>
  </si>
  <si>
    <t>3. Salesperson</t>
  </si>
  <si>
    <r>
      <t>What to Do</t>
    </r>
    <r>
      <rPr>
        <sz val="11"/>
        <color theme="1"/>
        <rFont val="Calibri"/>
        <family val="2"/>
        <scheme val="minor"/>
      </rPr>
      <t>: Evaluate performance of each salesperson.</t>
    </r>
  </si>
  <si>
    <r>
      <t>Visualizations</t>
    </r>
    <r>
      <rPr>
        <sz val="11"/>
        <color theme="1"/>
        <rFont val="Calibri"/>
        <family val="2"/>
        <scheme val="minor"/>
      </rPr>
      <t>: Bar chart - Profit Margin by Salesperson.</t>
    </r>
  </si>
  <si>
    <t>4. Product</t>
  </si>
  <si>
    <r>
      <t>What to Do</t>
    </r>
    <r>
      <rPr>
        <sz val="11"/>
        <color theme="1"/>
        <rFont val="Calibri"/>
        <family val="2"/>
        <scheme val="minor"/>
      </rPr>
      <t>: Understand sales distribution by product type.</t>
    </r>
  </si>
  <si>
    <r>
      <t>Visualizations</t>
    </r>
    <r>
      <rPr>
        <sz val="11"/>
        <color theme="1"/>
        <rFont val="Calibri"/>
        <family val="2"/>
        <scheme val="minor"/>
      </rPr>
      <t>: Stacked bar chart - Sales Amount, pie chart - Quantity Sold by Product.</t>
    </r>
  </si>
  <si>
    <t>5. Quantity Sold</t>
  </si>
  <si>
    <r>
      <t>What to Do</t>
    </r>
    <r>
      <rPr>
        <sz val="11"/>
        <color theme="1"/>
        <rFont val="Calibri"/>
        <family val="2"/>
        <scheme val="minor"/>
      </rPr>
      <t>: Track sales volume trends and performance.</t>
    </r>
  </si>
  <si>
    <r>
      <t>Visualizations</t>
    </r>
    <r>
      <rPr>
        <sz val="11"/>
        <color theme="1"/>
        <rFont val="Calibri"/>
        <family val="2"/>
        <scheme val="minor"/>
      </rPr>
      <t>: Line chart - Quantity Sold over time by Region.</t>
    </r>
  </si>
  <si>
    <t>6. Sales Amount</t>
  </si>
  <si>
    <r>
      <t>What to Do</t>
    </r>
    <r>
      <rPr>
        <sz val="11"/>
        <color theme="1"/>
        <rFont val="Calibri"/>
        <family val="2"/>
        <scheme val="minor"/>
      </rPr>
      <t>: Assess total revenue and its distribution.</t>
    </r>
  </si>
  <si>
    <r>
      <t>Visualizations</t>
    </r>
    <r>
      <rPr>
        <sz val="11"/>
        <color theme="1"/>
        <rFont val="Calibri"/>
        <family val="2"/>
        <scheme val="minor"/>
      </rPr>
      <t>: Bar chart - Sales Amount over time, bar chart by Product.</t>
    </r>
  </si>
  <si>
    <t>7. Discount (%)</t>
  </si>
  <si>
    <r>
      <t>What to Do</t>
    </r>
    <r>
      <rPr>
        <sz val="11"/>
        <color theme="1"/>
        <rFont val="Calibri"/>
        <family val="2"/>
        <scheme val="minor"/>
      </rPr>
      <t>: Analyze the impact of discounts on sales.</t>
    </r>
  </si>
  <si>
    <r>
      <t>Visualizations</t>
    </r>
    <r>
      <rPr>
        <sz val="11"/>
        <color theme="1"/>
        <rFont val="Calibri"/>
        <family val="2"/>
        <scheme val="minor"/>
      </rPr>
      <t>: Scatter plot showing Discount (%) vs. Sales Amount</t>
    </r>
  </si>
  <si>
    <t>8. Profit Margin (%)</t>
  </si>
  <si>
    <r>
      <t>What to Do</t>
    </r>
    <r>
      <rPr>
        <sz val="11"/>
        <color theme="1"/>
        <rFont val="Calibri"/>
        <family val="2"/>
        <scheme val="minor"/>
      </rPr>
      <t>: Monitor profitability and its trends.</t>
    </r>
  </si>
  <si>
    <r>
      <t>Visualizations</t>
    </r>
    <r>
      <rPr>
        <sz val="11"/>
        <color theme="1"/>
        <rFont val="Calibri"/>
        <family val="2"/>
        <scheme val="minor"/>
      </rPr>
      <t>: Line chart or bar chart showing Profit Margin trends over time or by Product.</t>
    </r>
  </si>
  <si>
    <t>Additional Columns for Calculation</t>
  </si>
  <si>
    <t>1. Total Sales (Calculated Column)</t>
  </si>
  <si>
    <r>
      <t>Formula</t>
    </r>
    <r>
      <rPr>
        <sz val="11"/>
        <color theme="1"/>
        <rFont val="Calibri"/>
        <family val="2"/>
        <scheme val="minor"/>
      </rPr>
      <t xml:space="preserve">: </t>
    </r>
    <r>
      <rPr>
        <sz val="10"/>
        <color theme="1"/>
        <rFont val="Arial Unicode MS"/>
        <family val="2"/>
      </rPr>
      <t>=Quantity Sold * Sales Amount</t>
    </r>
  </si>
  <si>
    <r>
      <t>Use</t>
    </r>
    <r>
      <rPr>
        <sz val="11"/>
        <color theme="1"/>
        <rFont val="Calibri"/>
        <family val="2"/>
        <scheme val="minor"/>
      </rPr>
      <t>: To analyze total revenue generated for each entry.</t>
    </r>
  </si>
  <si>
    <t>2. Profit Amount (Calculated Column)</t>
  </si>
  <si>
    <r>
      <t>Formula</t>
    </r>
    <r>
      <rPr>
        <sz val="11"/>
        <color theme="1"/>
        <rFont val="Calibri"/>
        <family val="2"/>
        <scheme val="minor"/>
      </rPr>
      <t xml:space="preserve">: </t>
    </r>
    <r>
      <rPr>
        <sz val="10"/>
        <color theme="1"/>
        <rFont val="Arial Unicode MS"/>
        <family val="2"/>
      </rPr>
      <t>=Sales Amount * (Profit Margin (%) / 100)</t>
    </r>
  </si>
  <si>
    <r>
      <t>Use</t>
    </r>
    <r>
      <rPr>
        <sz val="11"/>
        <color theme="1"/>
        <rFont val="Calibri"/>
        <family val="2"/>
        <scheme val="minor"/>
      </rPr>
      <t>: To determine the actual profit for each sale.</t>
    </r>
  </si>
  <si>
    <t>3. Net Sales Amount (Calculated Column)</t>
  </si>
  <si>
    <r>
      <t>Formula</t>
    </r>
    <r>
      <rPr>
        <sz val="11"/>
        <color theme="1"/>
        <rFont val="Calibri"/>
        <family val="2"/>
        <scheme val="minor"/>
      </rPr>
      <t xml:space="preserve">: </t>
    </r>
    <r>
      <rPr>
        <sz val="10"/>
        <color theme="1"/>
        <rFont val="Arial Unicode MS"/>
        <family val="2"/>
      </rPr>
      <t>=Sales Amount - (Sales Amount * (Discount (%) / 100))</t>
    </r>
  </si>
  <si>
    <r>
      <t>Use</t>
    </r>
    <r>
      <rPr>
        <sz val="11"/>
        <color theme="1"/>
        <rFont val="Calibri"/>
        <family val="2"/>
        <scheme val="minor"/>
      </rPr>
      <t>: To account for discounts and analyze net revenue.</t>
    </r>
  </si>
  <si>
    <t>4. Profit after Discount (Calculated Column)</t>
  </si>
  <si>
    <r>
      <t>Formula</t>
    </r>
    <r>
      <rPr>
        <sz val="11"/>
        <color theme="1"/>
        <rFont val="Calibri"/>
        <family val="2"/>
        <scheme val="minor"/>
      </rPr>
      <t xml:space="preserve">: </t>
    </r>
    <r>
      <rPr>
        <sz val="10"/>
        <color theme="1"/>
        <rFont val="Arial Unicode MS"/>
        <family val="2"/>
      </rPr>
      <t>=Net Sales Amount * (Profit Margin (%) / 100)</t>
    </r>
  </si>
  <si>
    <r>
      <t>Use</t>
    </r>
    <r>
      <rPr>
        <sz val="11"/>
        <color theme="1"/>
        <rFont val="Calibri"/>
        <family val="2"/>
        <scheme val="minor"/>
      </rPr>
      <t>: To find out the profit considering the discount applied.</t>
    </r>
  </si>
  <si>
    <t>How to Implement</t>
  </si>
  <si>
    <r>
      <t>1. Create Tables</t>
    </r>
    <r>
      <rPr>
        <sz val="11"/>
        <color theme="1"/>
        <rFont val="Calibri"/>
        <family val="2"/>
        <scheme val="minor"/>
      </rPr>
      <t>: Input the data into an Excel worksheet, ensuring each column is clearly labeled.</t>
    </r>
  </si>
  <si>
    <r>
      <t>2. Add Calculated Columns</t>
    </r>
    <r>
      <rPr>
        <sz val="11"/>
        <color theme="1"/>
        <rFont val="Calibri"/>
        <family val="2"/>
        <scheme val="minor"/>
      </rPr>
      <t>: Insert additional columns and apply the formulas to compute Total Sales, Profit Amount, Net Sales Amount, and Profit after Discount.</t>
    </r>
  </si>
  <si>
    <r>
      <t>3. Insert Visualizations</t>
    </r>
    <r>
      <rPr>
        <sz val="11"/>
        <color theme="1"/>
        <rFont val="Calibri"/>
        <family val="2"/>
        <scheme val="minor"/>
      </rPr>
      <t>: Use Excel’s built-in chart tools to create the visualizations suggested for each column.</t>
    </r>
  </si>
  <si>
    <r>
      <t>4. Build the Dashboard</t>
    </r>
    <r>
      <rPr>
        <sz val="11"/>
        <color theme="1"/>
        <rFont val="Calibri"/>
        <family val="2"/>
        <scheme val="minor"/>
      </rPr>
      <t>: Arrange your visualizations and tables on a new worksheet. Use slicers and pivot tables to make your dashboard interactive.</t>
    </r>
  </si>
  <si>
    <t>Row Labels</t>
  </si>
  <si>
    <t>Grand Total</t>
  </si>
  <si>
    <t>Jan</t>
  </si>
  <si>
    <t>Feb</t>
  </si>
  <si>
    <t>Mar</t>
  </si>
  <si>
    <t>Sum of Sales Amount</t>
  </si>
  <si>
    <t>Sum of Quantity Sold</t>
  </si>
  <si>
    <t>Sum of Total Sales Amount</t>
  </si>
  <si>
    <t>Sum of Profit Margin (%)</t>
  </si>
  <si>
    <t>Sum of Discount (%)</t>
  </si>
  <si>
    <t>Column Labels</t>
  </si>
  <si>
    <t>Sales Performance &amp; Profitability Analysis</t>
  </si>
  <si>
    <t>Laxmikant</t>
  </si>
  <si>
    <t>Total sales ammount</t>
  </si>
  <si>
    <t>Total Quantity sold</t>
  </si>
  <si>
    <t>Average Profit margin</t>
  </si>
  <si>
    <t>Highest selling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</si>
</sst>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sz val="10"/>
      <color theme="1"/>
      <name val="Arial Unicode MS"/>
      <family val="2"/>
    </font>
    <font>
      <sz val="11"/>
      <color rgb="FFFF0000"/>
      <name val="Calibri"/>
      <family val="2"/>
      <scheme val="minor"/>
    </font>
    <font>
      <sz val="14"/>
      <color theme="6" tint="-0.249977111117893"/>
      <name val="Algerian"/>
      <family val="5"/>
    </font>
    <font>
      <sz val="14"/>
      <color theme="1"/>
      <name val="Calibri"/>
      <family val="2"/>
      <scheme val="minor"/>
    </font>
    <font>
      <b/>
      <sz val="20"/>
      <color theme="5" tint="-0.249977111117893"/>
      <name val="Algerian"/>
      <family val="5"/>
    </font>
  </fonts>
  <fills count="13">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249977111117893"/>
        <bgColor indexed="64"/>
      </patternFill>
    </fill>
    <fill>
      <patternFill patternType="solid">
        <fgColor theme="2" tint="-0.249977111117893"/>
        <bgColor indexed="64"/>
      </patternFill>
    </fill>
    <fill>
      <patternFill patternType="solid">
        <fgColor theme="3" tint="-0.249977111117893"/>
        <bgColor indexed="64"/>
      </patternFill>
    </fill>
    <fill>
      <patternFill patternType="solid">
        <fgColor theme="4" tint="-0.499984740745262"/>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499984740745262"/>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1" xfId="0" applyFont="1" applyBorder="1" applyAlignment="1">
      <alignment horizontal="center"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xf numFmtId="0" fontId="0" fillId="0" borderId="0" xfId="0" applyAlignment="1">
      <alignment horizontal="left" vertical="center" indent="1"/>
    </xf>
    <xf numFmtId="0" fontId="1" fillId="0" borderId="0" xfId="0" applyFont="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NumberFormat="1" applyAlignment="1">
      <alignment horizontal="center"/>
    </xf>
    <xf numFmtId="0" fontId="0" fillId="6" borderId="0" xfId="0" applyFill="1"/>
    <xf numFmtId="0" fontId="5" fillId="6" borderId="0" xfId="0" applyFont="1" applyFill="1"/>
    <xf numFmtId="0" fontId="7" fillId="6" borderId="0" xfId="0" applyFont="1" applyFill="1" applyAlignment="1">
      <alignment vertical="center"/>
    </xf>
    <xf numFmtId="0" fontId="0" fillId="6" borderId="0" xfId="0" applyFill="1" applyAlignment="1">
      <alignment horizontal="center"/>
    </xf>
    <xf numFmtId="0" fontId="8" fillId="6" borderId="0" xfId="0" applyFont="1" applyFill="1" applyAlignment="1">
      <alignment horizontal="center" vertical="center"/>
    </xf>
    <xf numFmtId="0" fontId="6" fillId="6" borderId="0" xfId="0" applyFont="1" applyFill="1" applyAlignment="1">
      <alignment horizontal="center" vertical="center"/>
    </xf>
    <xf numFmtId="0" fontId="5" fillId="6" borderId="0" xfId="0" applyFont="1" applyFill="1" applyBorder="1"/>
    <xf numFmtId="0" fontId="0" fillId="6" borderId="0" xfId="0" applyFill="1" applyBorder="1"/>
    <xf numFmtId="0" fontId="7" fillId="6" borderId="0" xfId="0" applyFont="1" applyFill="1" applyBorder="1" applyAlignment="1">
      <alignment vertical="center"/>
    </xf>
    <xf numFmtId="0" fontId="7" fillId="3" borderId="0" xfId="0" applyFont="1" applyFill="1" applyAlignment="1">
      <alignment horizontal="center"/>
    </xf>
    <xf numFmtId="0" fontId="7" fillId="10" borderId="0" xfId="0" applyFont="1" applyFill="1" applyAlignment="1">
      <alignment horizontal="center"/>
    </xf>
    <xf numFmtId="0" fontId="7" fillId="11" borderId="0" xfId="0" applyFont="1" applyFill="1" applyAlignment="1">
      <alignment horizontal="center"/>
    </xf>
    <xf numFmtId="0" fontId="7" fillId="12" borderId="0" xfId="0" applyFont="1" applyFill="1" applyAlignment="1">
      <alignment horizontal="center"/>
    </xf>
    <xf numFmtId="0" fontId="7" fillId="4" borderId="0" xfId="0" applyFont="1" applyFill="1" applyAlignment="1">
      <alignment horizontal="center"/>
    </xf>
    <xf numFmtId="0" fontId="7" fillId="9" borderId="0" xfId="0" applyFont="1" applyFill="1" applyAlignment="1">
      <alignment horizontal="center"/>
    </xf>
    <xf numFmtId="0" fontId="0" fillId="5" borderId="0" xfId="0" applyFill="1" applyAlignment="1">
      <alignment horizontal="center"/>
    </xf>
    <xf numFmtId="0" fontId="6" fillId="8" borderId="0" xfId="0" applyFont="1" applyFill="1" applyAlignment="1">
      <alignment horizontal="center" vertical="center"/>
    </xf>
    <xf numFmtId="0" fontId="8" fillId="7" borderId="0" xfId="0" applyFont="1" applyFill="1" applyAlignment="1">
      <alignment horizontal="center" vertical="center"/>
    </xf>
    <xf numFmtId="0" fontId="1" fillId="0" borderId="0" xfId="0" applyFont="1" applyAlignment="1">
      <alignment horizontal="left" vertical="center"/>
    </xf>
    <xf numFmtId="0" fontId="2" fillId="2" borderId="0" xfId="0" applyFont="1" applyFill="1" applyAlignment="1">
      <alignment horizontal="center" vertical="center"/>
    </xf>
    <xf numFmtId="0" fontId="1" fillId="0" borderId="0" xfId="0" applyFont="1" applyAlignment="1">
      <alignment horizontal="center" vertical="center"/>
    </xf>
    <xf numFmtId="0" fontId="3" fillId="2" borderId="0" xfId="0" applyFont="1" applyFill="1" applyAlignment="1">
      <alignment horizontal="center" vertical="center"/>
    </xf>
    <xf numFmtId="0" fontId="1" fillId="0" borderId="0" xfId="0" applyFont="1" applyAlignment="1">
      <alignment horizontal="left" vertical="center" wrapText="1"/>
    </xf>
  </cellXfs>
  <cellStyles count="1">
    <cellStyle name="Normal" xfId="0" builtinId="0"/>
  </cellStyles>
  <dxfs count="3">
    <dxf>
      <alignment horizontal="center"/>
    </dxf>
    <dxf>
      <alignment horizontal="center"/>
    </dxf>
    <dxf>
      <alignment horizontal="center"/>
    </dxf>
  </dxfs>
  <tableStyles count="1" defaultTableStyle="TableStyleMedium2" defaultPivotStyle="PivotStyleLight16">
    <tableStyle name="Slicer Style 1" pivot="0" table="0" count="0" xr9:uid="{DD866D87-70E0-422D-B241-0B8BFCF56093}"/>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Sheet2!$A$4:$A$7</c:f>
              <c:strCache>
                <c:ptCount val="3"/>
                <c:pt idx="0">
                  <c:v>Jan</c:v>
                </c:pt>
                <c:pt idx="1">
                  <c:v>Feb</c:v>
                </c:pt>
                <c:pt idx="2">
                  <c:v>Mar</c:v>
                </c:pt>
              </c:strCache>
            </c:strRef>
          </c:cat>
          <c:val>
            <c:numRef>
              <c:f>Sheet2!$B$4:$B$7</c:f>
              <c:numCache>
                <c:formatCode>General</c:formatCode>
                <c:ptCount val="3"/>
                <c:pt idx="0">
                  <c:v>99600</c:v>
                </c:pt>
                <c:pt idx="1">
                  <c:v>96400</c:v>
                </c:pt>
                <c:pt idx="2">
                  <c:v>106200</c:v>
                </c:pt>
              </c:numCache>
            </c:numRef>
          </c:val>
          <c:smooth val="0"/>
          <c:extLst>
            <c:ext xmlns:c16="http://schemas.microsoft.com/office/drawing/2014/chart" uri="{C3380CC4-5D6E-409C-BE32-E72D297353CC}">
              <c16:uniqueId val="{00000000-44DC-4113-80FF-1D059FAA49A8}"/>
            </c:ext>
          </c:extLst>
        </c:ser>
        <c:dLbls>
          <c:showLegendKey val="0"/>
          <c:showVal val="0"/>
          <c:showCatName val="0"/>
          <c:showSerName val="0"/>
          <c:showPercent val="0"/>
          <c:showBubbleSize val="0"/>
        </c:dLbls>
        <c:axId val="1028957408"/>
        <c:axId val="1028954912"/>
        <c:axId val="1157374400"/>
      </c:line3DChart>
      <c:catAx>
        <c:axId val="10289574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954912"/>
        <c:crosses val="autoZero"/>
        <c:auto val="1"/>
        <c:lblAlgn val="ctr"/>
        <c:lblOffset val="100"/>
        <c:noMultiLvlLbl val="0"/>
      </c:catAx>
      <c:valAx>
        <c:axId val="10289549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957408"/>
        <c:crosses val="autoZero"/>
        <c:crossBetween val="between"/>
      </c:valAx>
      <c:serAx>
        <c:axId val="115737440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895491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Sheet2!$B$11</c:f>
              <c:strCache>
                <c:ptCount val="1"/>
                <c:pt idx="0">
                  <c:v>Sum of Quantity Sold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72-47FD-8072-950A2306D0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72-47FD-8072-950A2306D01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72-47FD-8072-950A2306D01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072-47FD-8072-950A2306D0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Sheet2!$A$12:$A$16</c:f>
              <c:strCache>
                <c:ptCount val="4"/>
                <c:pt idx="0">
                  <c:v>East</c:v>
                </c:pt>
                <c:pt idx="1">
                  <c:v>North</c:v>
                </c:pt>
                <c:pt idx="2">
                  <c:v>South</c:v>
                </c:pt>
                <c:pt idx="3">
                  <c:v>West</c:v>
                </c:pt>
              </c:strCache>
            </c:strRef>
          </c:cat>
          <c:val>
            <c:numRef>
              <c:f>Sheet2!$B$12:$B$16</c:f>
              <c:numCache>
                <c:formatCode>General</c:formatCode>
                <c:ptCount val="4"/>
                <c:pt idx="0">
                  <c:v>3570</c:v>
                </c:pt>
                <c:pt idx="1">
                  <c:v>3660</c:v>
                </c:pt>
                <c:pt idx="2">
                  <c:v>4200</c:v>
                </c:pt>
                <c:pt idx="3">
                  <c:v>3680</c:v>
                </c:pt>
              </c:numCache>
            </c:numRef>
          </c:val>
          <c:extLst>
            <c:ext xmlns:c16="http://schemas.microsoft.com/office/drawing/2014/chart" uri="{C3380CC4-5D6E-409C-BE32-E72D297353CC}">
              <c16:uniqueId val="{00000008-B072-47FD-8072-950A2306D01A}"/>
            </c:ext>
          </c:extLst>
        </c:ser>
        <c:ser>
          <c:idx val="1"/>
          <c:order val="1"/>
          <c:tx>
            <c:strRef>
              <c:f>Sheet2!$C$11</c:f>
              <c:strCache>
                <c:ptCount val="1"/>
                <c:pt idx="0">
                  <c:v>Sum of Total Sales Amount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072-47FD-8072-950A2306D01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B072-47FD-8072-950A2306D01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B072-47FD-8072-950A2306D01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B072-47FD-8072-950A2306D0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Sheet2!$A$12:$A$16</c:f>
              <c:strCache>
                <c:ptCount val="4"/>
                <c:pt idx="0">
                  <c:v>East</c:v>
                </c:pt>
                <c:pt idx="1">
                  <c:v>North</c:v>
                </c:pt>
                <c:pt idx="2">
                  <c:v>South</c:v>
                </c:pt>
                <c:pt idx="3">
                  <c:v>West</c:v>
                </c:pt>
              </c:strCache>
            </c:strRef>
          </c:cat>
          <c:val>
            <c:numRef>
              <c:f>Sheet2!$C$12:$C$16</c:f>
              <c:numCache>
                <c:formatCode>General</c:formatCode>
                <c:ptCount val="4"/>
                <c:pt idx="0">
                  <c:v>11466000</c:v>
                </c:pt>
                <c:pt idx="1">
                  <c:v>12568000</c:v>
                </c:pt>
                <c:pt idx="2">
                  <c:v>16472000</c:v>
                </c:pt>
                <c:pt idx="3">
                  <c:v>12020000</c:v>
                </c:pt>
              </c:numCache>
            </c:numRef>
          </c:val>
          <c:extLst>
            <c:ext xmlns:c16="http://schemas.microsoft.com/office/drawing/2014/chart" uri="{C3380CC4-5D6E-409C-BE32-E72D297353CC}">
              <c16:uniqueId val="{00000011-B072-47FD-8072-950A2306D01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Margin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Sheet2!$B$21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Sheet2!$A$22:$A$26</c:f>
              <c:strCache>
                <c:ptCount val="4"/>
                <c:pt idx="0">
                  <c:v>Arun Kumar</c:v>
                </c:pt>
                <c:pt idx="1">
                  <c:v>Meera Reddy</c:v>
                </c:pt>
                <c:pt idx="2">
                  <c:v>Priya Sharma</c:v>
                </c:pt>
                <c:pt idx="3">
                  <c:v>Rajesh Patel</c:v>
                </c:pt>
              </c:strCache>
            </c:strRef>
          </c:cat>
          <c:val>
            <c:numRef>
              <c:f>Sheet2!$B$22:$B$26</c:f>
              <c:numCache>
                <c:formatCode>General</c:formatCode>
                <c:ptCount val="4"/>
                <c:pt idx="0">
                  <c:v>532</c:v>
                </c:pt>
                <c:pt idx="1">
                  <c:v>598</c:v>
                </c:pt>
                <c:pt idx="2">
                  <c:v>524</c:v>
                </c:pt>
                <c:pt idx="3">
                  <c:v>494</c:v>
                </c:pt>
              </c:numCache>
            </c:numRef>
          </c:val>
          <c:extLst>
            <c:ext xmlns:c16="http://schemas.microsoft.com/office/drawing/2014/chart" uri="{C3380CC4-5D6E-409C-BE32-E72D297353CC}">
              <c16:uniqueId val="{00000000-BBE6-4427-9F22-69BFA890648C}"/>
            </c:ext>
          </c:extLst>
        </c:ser>
        <c:dLbls>
          <c:showLegendKey val="0"/>
          <c:showVal val="0"/>
          <c:showCatName val="0"/>
          <c:showSerName val="0"/>
          <c:showPercent val="0"/>
          <c:showBubbleSize val="0"/>
        </c:dLbls>
        <c:gapWidth val="65"/>
        <c:shape val="box"/>
        <c:axId val="1168204528"/>
        <c:axId val="1168206192"/>
        <c:axId val="0"/>
      </c:bar3DChart>
      <c:catAx>
        <c:axId val="1168204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8206192"/>
        <c:crosses val="autoZero"/>
        <c:auto val="1"/>
        <c:lblAlgn val="ctr"/>
        <c:lblOffset val="100"/>
        <c:noMultiLvlLbl val="0"/>
      </c:catAx>
      <c:valAx>
        <c:axId val="116820619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820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[Book1.xlsx]Sheet2!PivotTable4</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Product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Sheet2!$B$30</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Sheet2!$A$31:$A$34</c:f>
              <c:strCache>
                <c:ptCount val="3"/>
                <c:pt idx="0">
                  <c:v>Product X</c:v>
                </c:pt>
                <c:pt idx="1">
                  <c:v>Product Y</c:v>
                </c:pt>
                <c:pt idx="2">
                  <c:v>Product Z</c:v>
                </c:pt>
              </c:strCache>
            </c:strRef>
          </c:cat>
          <c:val>
            <c:numRef>
              <c:f>Sheet2!$B$31:$B$34</c:f>
              <c:numCache>
                <c:formatCode>General</c:formatCode>
                <c:ptCount val="3"/>
                <c:pt idx="0">
                  <c:v>88200</c:v>
                </c:pt>
                <c:pt idx="1">
                  <c:v>103400</c:v>
                </c:pt>
                <c:pt idx="2">
                  <c:v>110600</c:v>
                </c:pt>
              </c:numCache>
            </c:numRef>
          </c:val>
          <c:extLst>
            <c:ext xmlns:c16="http://schemas.microsoft.com/office/drawing/2014/chart" uri="{C3380CC4-5D6E-409C-BE32-E72D297353CC}">
              <c16:uniqueId val="{00000000-5307-4477-A6B4-9AD780D49576}"/>
            </c:ext>
          </c:extLst>
        </c:ser>
        <c:dLbls>
          <c:showLegendKey val="0"/>
          <c:showVal val="0"/>
          <c:showCatName val="0"/>
          <c:showSerName val="0"/>
          <c:showPercent val="0"/>
          <c:showBubbleSize val="0"/>
        </c:dLbls>
        <c:gapWidth val="150"/>
        <c:gapDepth val="0"/>
        <c:shape val="box"/>
        <c:axId val="864007664"/>
        <c:axId val="864006832"/>
        <c:axId val="1198778720"/>
      </c:bar3DChart>
      <c:catAx>
        <c:axId val="864007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6832"/>
        <c:crosses val="autoZero"/>
        <c:auto val="1"/>
        <c:lblAlgn val="ctr"/>
        <c:lblOffset val="100"/>
        <c:noMultiLvlLbl val="0"/>
      </c:catAx>
      <c:valAx>
        <c:axId val="864006832"/>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7664"/>
        <c:crosses val="autoZero"/>
        <c:crossBetween val="between"/>
      </c:valAx>
      <c:serAx>
        <c:axId val="1198778720"/>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068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[Book1.xlsx]Sheet2!PivotTable5</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Sheet2!$B$39</c:f>
              <c:strCache>
                <c:ptCount val="1"/>
                <c:pt idx="0">
                  <c:v>Sum of Discount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E92-4DCB-AB3A-9621CBB481A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E92-4DCB-AB3A-9621CBB481A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E92-4DCB-AB3A-9621CBB481A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E92-4DCB-AB3A-9621CBB481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Sheet2!$A$40:$A$44</c:f>
              <c:strCache>
                <c:ptCount val="4"/>
                <c:pt idx="0">
                  <c:v>East</c:v>
                </c:pt>
                <c:pt idx="1">
                  <c:v>North</c:v>
                </c:pt>
                <c:pt idx="2">
                  <c:v>South</c:v>
                </c:pt>
                <c:pt idx="3">
                  <c:v>West</c:v>
                </c:pt>
              </c:strCache>
            </c:strRef>
          </c:cat>
          <c:val>
            <c:numRef>
              <c:f>Sheet2!$B$40:$B$44</c:f>
              <c:numCache>
                <c:formatCode>General</c:formatCode>
                <c:ptCount val="4"/>
                <c:pt idx="0">
                  <c:v>303</c:v>
                </c:pt>
                <c:pt idx="1">
                  <c:v>189</c:v>
                </c:pt>
                <c:pt idx="2">
                  <c:v>330</c:v>
                </c:pt>
                <c:pt idx="3">
                  <c:v>263</c:v>
                </c:pt>
              </c:numCache>
            </c:numRef>
          </c:val>
          <c:extLst>
            <c:ext xmlns:c16="http://schemas.microsoft.com/office/drawing/2014/chart" uri="{C3380CC4-5D6E-409C-BE32-E72D297353CC}">
              <c16:uniqueId val="{00000008-5E92-4DCB-AB3A-9621CBB481AC}"/>
            </c:ext>
          </c:extLst>
        </c:ser>
        <c:ser>
          <c:idx val="1"/>
          <c:order val="1"/>
          <c:tx>
            <c:strRef>
              <c:f>Sheet2!$C$39</c:f>
              <c:strCache>
                <c:ptCount val="1"/>
                <c:pt idx="0">
                  <c:v>Sum of Sales Amount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5E92-4DCB-AB3A-9621CBB481A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5E92-4DCB-AB3A-9621CBB481A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5E92-4DCB-AB3A-9621CBB481AC}"/>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5E92-4DCB-AB3A-9621CBB481A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Sheet2!$A$40:$A$44</c:f>
              <c:strCache>
                <c:ptCount val="4"/>
                <c:pt idx="0">
                  <c:v>East</c:v>
                </c:pt>
                <c:pt idx="1">
                  <c:v>North</c:v>
                </c:pt>
                <c:pt idx="2">
                  <c:v>South</c:v>
                </c:pt>
                <c:pt idx="3">
                  <c:v>West</c:v>
                </c:pt>
              </c:strCache>
            </c:strRef>
          </c:cat>
          <c:val>
            <c:numRef>
              <c:f>Sheet2!$C$40:$C$44</c:f>
              <c:numCache>
                <c:formatCode>General</c:formatCode>
                <c:ptCount val="4"/>
                <c:pt idx="0">
                  <c:v>71400</c:v>
                </c:pt>
                <c:pt idx="1">
                  <c:v>73200</c:v>
                </c:pt>
                <c:pt idx="2">
                  <c:v>84000</c:v>
                </c:pt>
                <c:pt idx="3">
                  <c:v>73600</c:v>
                </c:pt>
              </c:numCache>
            </c:numRef>
          </c:val>
          <c:extLst>
            <c:ext xmlns:c16="http://schemas.microsoft.com/office/drawing/2014/chart" uri="{C3380CC4-5D6E-409C-BE32-E72D297353CC}">
              <c16:uniqueId val="{00000011-5E92-4DCB-AB3A-9621CBB481AC}"/>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[Book1.xlsx]Sheet2!PivotTable6</c:name>
    <c:fmtId val="1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Distribution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Sheet2!$A$50:$A$53</c:f>
              <c:strCache>
                <c:ptCount val="3"/>
                <c:pt idx="0">
                  <c:v>Product X</c:v>
                </c:pt>
                <c:pt idx="1">
                  <c:v>Product Y</c:v>
                </c:pt>
                <c:pt idx="2">
                  <c:v>Product Z</c:v>
                </c:pt>
              </c:strCache>
            </c:strRef>
          </c:cat>
          <c:val>
            <c:numRef>
              <c:f>Sheet2!$B$50:$B$53</c:f>
              <c:numCache>
                <c:formatCode>General</c:formatCode>
                <c:ptCount val="3"/>
                <c:pt idx="0">
                  <c:v>13718000</c:v>
                </c:pt>
                <c:pt idx="1">
                  <c:v>17946000</c:v>
                </c:pt>
                <c:pt idx="2">
                  <c:v>20862000</c:v>
                </c:pt>
              </c:numCache>
            </c:numRef>
          </c:val>
          <c:extLst>
            <c:ext xmlns:c16="http://schemas.microsoft.com/office/drawing/2014/chart" uri="{C3380CC4-5D6E-409C-BE32-E72D297353CC}">
              <c16:uniqueId val="{00000000-8B6E-4DA1-92B3-DB60F267B597}"/>
            </c:ext>
          </c:extLst>
        </c:ser>
        <c:dLbls>
          <c:showLegendKey val="0"/>
          <c:showVal val="1"/>
          <c:showCatName val="0"/>
          <c:showSerName val="0"/>
          <c:showPercent val="0"/>
          <c:showBubbleSize val="0"/>
        </c:dLbls>
        <c:gapWidth val="150"/>
        <c:shape val="box"/>
        <c:axId val="1172995568"/>
        <c:axId val="1173000560"/>
        <c:axId val="0"/>
      </c:bar3DChart>
      <c:catAx>
        <c:axId val="11729955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 Name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000560"/>
        <c:crosses val="autoZero"/>
        <c:auto val="1"/>
        <c:lblAlgn val="ctr"/>
        <c:lblOffset val="100"/>
        <c:noMultiLvlLbl val="0"/>
      </c:catAx>
      <c:valAx>
        <c:axId val="1173000560"/>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Sum of Total Sales Amount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99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a:t>
            </a:r>
            <a:r>
              <a:rPr lang="en-IN" baseline="0"/>
              <a:t> of Profit Margin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Sheet2!$B$58:$B$59</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Sheet2!$A$60:$A$63</c:f>
              <c:strCache>
                <c:ptCount val="3"/>
                <c:pt idx="0">
                  <c:v>Product X</c:v>
                </c:pt>
                <c:pt idx="1">
                  <c:v>Product Y</c:v>
                </c:pt>
                <c:pt idx="2">
                  <c:v>Product Z</c:v>
                </c:pt>
              </c:strCache>
            </c:strRef>
          </c:cat>
          <c:val>
            <c:numRef>
              <c:f>Sheet2!$B$60:$B$63</c:f>
              <c:numCache>
                <c:formatCode>General</c:formatCode>
                <c:ptCount val="3"/>
                <c:pt idx="0">
                  <c:v>217</c:v>
                </c:pt>
                <c:pt idx="1">
                  <c:v>239</c:v>
                </c:pt>
                <c:pt idx="2">
                  <c:v>237</c:v>
                </c:pt>
              </c:numCache>
            </c:numRef>
          </c:val>
          <c:extLst>
            <c:ext xmlns:c16="http://schemas.microsoft.com/office/drawing/2014/chart" uri="{C3380CC4-5D6E-409C-BE32-E72D297353CC}">
              <c16:uniqueId val="{00000000-BB69-4BE4-BB12-55629625D17C}"/>
            </c:ext>
          </c:extLst>
        </c:ser>
        <c:ser>
          <c:idx val="1"/>
          <c:order val="1"/>
          <c:tx>
            <c:strRef>
              <c:f>Sheet2!$C$58:$C$59</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Sheet2!$A$60:$A$63</c:f>
              <c:strCache>
                <c:ptCount val="3"/>
                <c:pt idx="0">
                  <c:v>Product X</c:v>
                </c:pt>
                <c:pt idx="1">
                  <c:v>Product Y</c:v>
                </c:pt>
                <c:pt idx="2">
                  <c:v>Product Z</c:v>
                </c:pt>
              </c:strCache>
            </c:strRef>
          </c:cat>
          <c:val>
            <c:numRef>
              <c:f>Sheet2!$C$60:$C$63</c:f>
              <c:numCache>
                <c:formatCode>General</c:formatCode>
                <c:ptCount val="3"/>
                <c:pt idx="0">
                  <c:v>205</c:v>
                </c:pt>
                <c:pt idx="1">
                  <c:v>239</c:v>
                </c:pt>
                <c:pt idx="2">
                  <c:v>247</c:v>
                </c:pt>
              </c:numCache>
            </c:numRef>
          </c:val>
          <c:extLst>
            <c:ext xmlns:c16="http://schemas.microsoft.com/office/drawing/2014/chart" uri="{C3380CC4-5D6E-409C-BE32-E72D297353CC}">
              <c16:uniqueId val="{00000005-BB69-4BE4-BB12-55629625D17C}"/>
            </c:ext>
          </c:extLst>
        </c:ser>
        <c:ser>
          <c:idx val="2"/>
          <c:order val="2"/>
          <c:tx>
            <c:strRef>
              <c:f>Sheet2!$D$58:$D$59</c:f>
              <c:strCache>
                <c:ptCount val="1"/>
                <c:pt idx="0">
                  <c:v>Mar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Sheet2!$A$60:$A$63</c:f>
              <c:strCache>
                <c:ptCount val="3"/>
                <c:pt idx="0">
                  <c:v>Product X</c:v>
                </c:pt>
                <c:pt idx="1">
                  <c:v>Product Y</c:v>
                </c:pt>
                <c:pt idx="2">
                  <c:v>Product Z</c:v>
                </c:pt>
              </c:strCache>
            </c:strRef>
          </c:cat>
          <c:val>
            <c:numRef>
              <c:f>Sheet2!$D$60:$D$63</c:f>
              <c:numCache>
                <c:formatCode>General</c:formatCode>
                <c:ptCount val="3"/>
                <c:pt idx="0">
                  <c:v>225</c:v>
                </c:pt>
                <c:pt idx="1">
                  <c:v>274</c:v>
                </c:pt>
                <c:pt idx="2">
                  <c:v>265</c:v>
                </c:pt>
              </c:numCache>
            </c:numRef>
          </c:val>
          <c:extLst>
            <c:ext xmlns:c16="http://schemas.microsoft.com/office/drawing/2014/chart" uri="{C3380CC4-5D6E-409C-BE32-E72D297353CC}">
              <c16:uniqueId val="{00000006-BB69-4BE4-BB12-55629625D17C}"/>
            </c:ext>
          </c:extLst>
        </c:ser>
        <c:dLbls>
          <c:showLegendKey val="0"/>
          <c:showVal val="0"/>
          <c:showCatName val="0"/>
          <c:showSerName val="0"/>
          <c:showPercent val="0"/>
          <c:showBubbleSize val="0"/>
        </c:dLbls>
        <c:gapWidth val="150"/>
        <c:shape val="box"/>
        <c:axId val="1208995360"/>
        <c:axId val="1208987872"/>
        <c:axId val="858582960"/>
      </c:bar3DChart>
      <c:catAx>
        <c:axId val="120899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987872"/>
        <c:crosses val="autoZero"/>
        <c:auto val="1"/>
        <c:lblAlgn val="ctr"/>
        <c:lblOffset val="100"/>
        <c:noMultiLvlLbl val="0"/>
      </c:catAx>
      <c:valAx>
        <c:axId val="12089878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995360"/>
        <c:crosses val="autoZero"/>
        <c:crossBetween val="between"/>
      </c:valAx>
      <c:serAx>
        <c:axId val="85858296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8987872"/>
        <c:crosses val="autoZero"/>
      </c:ser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14858</xdr:colOff>
      <xdr:row>6</xdr:row>
      <xdr:rowOff>175260</xdr:rowOff>
    </xdr:from>
    <xdr:to>
      <xdr:col>8</xdr:col>
      <xdr:colOff>30479</xdr:colOff>
      <xdr:row>11</xdr:row>
      <xdr:rowOff>99060</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277B7670-C9F9-43E0-ADE1-BAA76A13992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24458" y="1501140"/>
              <a:ext cx="3063621"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274320</xdr:colOff>
      <xdr:row>6</xdr:row>
      <xdr:rowOff>152400</xdr:rowOff>
    </xdr:from>
    <xdr:to>
      <xdr:col>13</xdr:col>
      <xdr:colOff>15240</xdr:colOff>
      <xdr:row>11</xdr:row>
      <xdr:rowOff>121920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932D6F6-D5FB-458E-B9BE-75B15B5E01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31920" y="1478280"/>
              <a:ext cx="278892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11</xdr:row>
      <xdr:rowOff>99060</xdr:rowOff>
    </xdr:from>
    <xdr:to>
      <xdr:col>10</xdr:col>
      <xdr:colOff>312420</xdr:colOff>
      <xdr:row>26</xdr:row>
      <xdr:rowOff>99060</xdr:rowOff>
    </xdr:to>
    <xdr:graphicFrame macro="">
      <xdr:nvGraphicFramePr>
        <xdr:cNvPr id="5" name="Chart 4">
          <a:extLst>
            <a:ext uri="{FF2B5EF4-FFF2-40B4-BE49-F238E27FC236}">
              <a16:creationId xmlns:a16="http://schemas.microsoft.com/office/drawing/2014/main" id="{6D59E99B-E774-4EB7-8E7B-1FF73DAA2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312420</xdr:colOff>
      <xdr:row>11</xdr:row>
      <xdr:rowOff>106680</xdr:rowOff>
    </xdr:from>
    <xdr:to>
      <xdr:col>18</xdr:col>
      <xdr:colOff>7620</xdr:colOff>
      <xdr:row>26</xdr:row>
      <xdr:rowOff>106680</xdr:rowOff>
    </xdr:to>
    <xdr:graphicFrame macro="">
      <xdr:nvGraphicFramePr>
        <xdr:cNvPr id="6" name="Chart 5">
          <a:extLst>
            <a:ext uri="{FF2B5EF4-FFF2-40B4-BE49-F238E27FC236}">
              <a16:creationId xmlns:a16="http://schemas.microsoft.com/office/drawing/2014/main" id="{9B755A05-6DF1-438B-98AA-4B44413C6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26</xdr:row>
      <xdr:rowOff>76200</xdr:rowOff>
    </xdr:from>
    <xdr:to>
      <xdr:col>10</xdr:col>
      <xdr:colOff>312420</xdr:colOff>
      <xdr:row>41</xdr:row>
      <xdr:rowOff>76200</xdr:rowOff>
    </xdr:to>
    <xdr:graphicFrame macro="">
      <xdr:nvGraphicFramePr>
        <xdr:cNvPr id="7" name="Chart 6">
          <a:extLst>
            <a:ext uri="{FF2B5EF4-FFF2-40B4-BE49-F238E27FC236}">
              <a16:creationId xmlns:a16="http://schemas.microsoft.com/office/drawing/2014/main" id="{CF2B38D6-2187-479F-9CF0-21FEEA561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26</xdr:row>
      <xdr:rowOff>106680</xdr:rowOff>
    </xdr:from>
    <xdr:to>
      <xdr:col>18</xdr:col>
      <xdr:colOff>7620</xdr:colOff>
      <xdr:row>41</xdr:row>
      <xdr:rowOff>106680</xdr:rowOff>
    </xdr:to>
    <xdr:graphicFrame macro="">
      <xdr:nvGraphicFramePr>
        <xdr:cNvPr id="8" name="Chart 7">
          <a:extLst>
            <a:ext uri="{FF2B5EF4-FFF2-40B4-BE49-F238E27FC236}">
              <a16:creationId xmlns:a16="http://schemas.microsoft.com/office/drawing/2014/main" id="{68152A63-428B-4238-92AC-8918865FE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41</xdr:row>
      <xdr:rowOff>91440</xdr:rowOff>
    </xdr:from>
    <xdr:to>
      <xdr:col>10</xdr:col>
      <xdr:colOff>304800</xdr:colOff>
      <xdr:row>56</xdr:row>
      <xdr:rowOff>91440</xdr:rowOff>
    </xdr:to>
    <xdr:graphicFrame macro="">
      <xdr:nvGraphicFramePr>
        <xdr:cNvPr id="9" name="Chart 8">
          <a:extLst>
            <a:ext uri="{FF2B5EF4-FFF2-40B4-BE49-F238E27FC236}">
              <a16:creationId xmlns:a16="http://schemas.microsoft.com/office/drawing/2014/main" id="{0AF2743E-8CA9-4E69-B2B0-1D4C3A58A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312420</xdr:colOff>
      <xdr:row>41</xdr:row>
      <xdr:rowOff>106680</xdr:rowOff>
    </xdr:from>
    <xdr:to>
      <xdr:col>18</xdr:col>
      <xdr:colOff>7620</xdr:colOff>
      <xdr:row>56</xdr:row>
      <xdr:rowOff>106680</xdr:rowOff>
    </xdr:to>
    <xdr:graphicFrame macro="">
      <xdr:nvGraphicFramePr>
        <xdr:cNvPr id="11" name="Chart 10">
          <a:extLst>
            <a:ext uri="{FF2B5EF4-FFF2-40B4-BE49-F238E27FC236}">
              <a16:creationId xmlns:a16="http://schemas.microsoft.com/office/drawing/2014/main" id="{71535BF6-014A-448F-8039-8CD95E776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601980</xdr:colOff>
      <xdr:row>56</xdr:row>
      <xdr:rowOff>91440</xdr:rowOff>
    </xdr:from>
    <xdr:to>
      <xdr:col>18</xdr:col>
      <xdr:colOff>0</xdr:colOff>
      <xdr:row>73</xdr:row>
      <xdr:rowOff>91440</xdr:rowOff>
    </xdr:to>
    <xdr:graphicFrame macro="">
      <xdr:nvGraphicFramePr>
        <xdr:cNvPr id="12" name="Chart 11">
          <a:extLst>
            <a:ext uri="{FF2B5EF4-FFF2-40B4-BE49-F238E27FC236}">
              <a16:creationId xmlns:a16="http://schemas.microsoft.com/office/drawing/2014/main" id="{3A6A6B72-F956-4D56-9EBA-4EBBB0742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228600</xdr:colOff>
      <xdr:row>6</xdr:row>
      <xdr:rowOff>152400</xdr:rowOff>
    </xdr:from>
    <xdr:to>
      <xdr:col>18</xdr:col>
      <xdr:colOff>7620</xdr:colOff>
      <xdr:row>11</xdr:row>
      <xdr:rowOff>106680</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70BB9E38-D2D5-44DB-BBFF-7E04E6912AD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934200" y="1478280"/>
              <a:ext cx="2827020" cy="868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182880</xdr:colOff>
      <xdr:row>0</xdr:row>
      <xdr:rowOff>160020</xdr:rowOff>
    </xdr:from>
    <xdr:to>
      <xdr:col>4</xdr:col>
      <xdr:colOff>441959</xdr:colOff>
      <xdr:row>2</xdr:row>
      <xdr:rowOff>175259</xdr:rowOff>
    </xdr:to>
    <xdr:pic>
      <xdr:nvPicPr>
        <xdr:cNvPr id="15" name="Picture 14">
          <a:extLst>
            <a:ext uri="{FF2B5EF4-FFF2-40B4-BE49-F238E27FC236}">
              <a16:creationId xmlns:a16="http://schemas.microsoft.com/office/drawing/2014/main" id="{1DAC7C72-2B54-4603-96EE-8900A74A0617}"/>
            </a:ext>
          </a:extLst>
        </xdr:cNvPr>
        <xdr:cNvPicPr>
          <a:picLocks noChangeAspect="1"/>
        </xdr:cNvPicPr>
      </xdr:nvPicPr>
      <xdr:blipFill>
        <a:blip xmlns:r="http://schemas.openxmlformats.org/officeDocument/2006/relationships" r:embed="rId8"/>
        <a:stretch>
          <a:fillRect/>
        </a:stretch>
      </xdr:blipFill>
      <xdr:spPr>
        <a:xfrm>
          <a:off x="792480" y="160020"/>
          <a:ext cx="868679" cy="42671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mul" refreshedDate="45999.511462037037" createdVersion="7" refreshedVersion="7" minRefreshableVersion="3" recordCount="90" xr:uid="{4732433E-CEC8-4186-B72B-F4F6BDF283D2}">
  <cacheSource type="worksheet">
    <worksheetSource ref="A1:I91" sheet="Sheet1"/>
  </cacheSource>
  <cacheFields count="10">
    <cacheField name="Date" numFmtId="14">
      <sharedItems containsSemiMixedTypes="0" containsNonDate="0" containsDate="1" containsString="0" minDate="2024-01-01T00:00:00" maxDate="2024-04-0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fieldGroup par="9" base="0">
        <rangePr groupBy="days" startDate="2024-01-01T00:00:00" endDate="2024-04-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4-2024"/>
        </groupItems>
      </fieldGroup>
    </cacheField>
    <cacheField name="Region" numFmtId="0">
      <sharedItems count="4">
        <s v="East"/>
        <s v="West"/>
        <s v="North"/>
        <s v="South"/>
      </sharedItems>
    </cacheField>
    <cacheField name="Salesperson" numFmtId="0">
      <sharedItems count="4">
        <s v="Arun Kumar"/>
        <s v="Priya Sharma"/>
        <s v="Rajesh Patel"/>
        <s v="Meera Reddy"/>
      </sharedItems>
    </cacheField>
    <cacheField name="Product" numFmtId="0">
      <sharedItems count="3">
        <s v="Product X"/>
        <s v="Product Y"/>
        <s v="Product Z"/>
      </sharedItems>
    </cacheField>
    <cacheField name="Quantity Sold" numFmtId="0">
      <sharedItems containsSemiMixedTypes="0" containsString="0" containsNumber="1" containsInteger="1" minValue="100" maxValue="250"/>
    </cacheField>
    <cacheField name="Sales Amount" numFmtId="0">
      <sharedItems containsSemiMixedTypes="0" containsString="0" containsNumber="1" containsInteger="1" minValue="2000" maxValue="5000"/>
    </cacheField>
    <cacheField name="Discount (%)" numFmtId="0">
      <sharedItems containsSemiMixedTypes="0" containsString="0" containsNumber="1" containsInteger="1" minValue="5" maxValue="20"/>
    </cacheField>
    <cacheField name="Profit Margin (%)" numFmtId="0">
      <sharedItems containsSemiMixedTypes="0" containsString="0" containsNumber="1" containsInteger="1" minValue="18" maxValue="30"/>
    </cacheField>
    <cacheField name="Total Sales Amount" numFmtId="0">
      <sharedItems containsSemiMixedTypes="0" containsString="0" containsNumber="1" containsInteger="1" minValue="200000" maxValue="1250000"/>
    </cacheField>
    <cacheField name="Months" numFmtId="0" databaseField="0">
      <fieldGroup base="0">
        <rangePr groupBy="months" startDate="2024-01-01T00:00:00" endDate="2024-04-01T00:00:00"/>
        <groupItems count="14">
          <s v="&lt;01-01-2024"/>
          <s v="Jan"/>
          <s v="Feb"/>
          <s v="Mar"/>
          <s v="Apr"/>
          <s v="May"/>
          <s v="Jun"/>
          <s v="Jul"/>
          <s v="Aug"/>
          <s v="Sep"/>
          <s v="Oct"/>
          <s v="Nov"/>
          <s v="Dec"/>
          <s v="&gt;01-04-2024"/>
        </groupItems>
      </fieldGroup>
    </cacheField>
  </cacheFields>
  <extLst>
    <ext xmlns:x14="http://schemas.microsoft.com/office/spreadsheetml/2009/9/main" uri="{725AE2AE-9491-48be-B2B4-4EB974FC3084}">
      <x14:pivotCacheDefinition pivotCacheId="988062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x v="0"/>
    <n v="150"/>
    <n v="3000"/>
    <n v="10"/>
    <n v="20"/>
    <n v="450000"/>
  </r>
  <r>
    <x v="1"/>
    <x v="1"/>
    <x v="1"/>
    <x v="1"/>
    <n v="200"/>
    <n v="4000"/>
    <n v="15"/>
    <n v="25"/>
    <n v="800000"/>
  </r>
  <r>
    <x v="2"/>
    <x v="2"/>
    <x v="2"/>
    <x v="0"/>
    <n v="120"/>
    <n v="2400"/>
    <n v="5"/>
    <n v="18"/>
    <n v="288000"/>
  </r>
  <r>
    <x v="3"/>
    <x v="3"/>
    <x v="3"/>
    <x v="2"/>
    <n v="250"/>
    <n v="5000"/>
    <n v="20"/>
    <n v="30"/>
    <n v="1250000"/>
  </r>
  <r>
    <x v="4"/>
    <x v="0"/>
    <x v="0"/>
    <x v="1"/>
    <n v="100"/>
    <n v="2000"/>
    <n v="10"/>
    <n v="22"/>
    <n v="200000"/>
  </r>
  <r>
    <x v="5"/>
    <x v="1"/>
    <x v="1"/>
    <x v="0"/>
    <n v="180"/>
    <n v="3600"/>
    <n v="12"/>
    <n v="19"/>
    <n v="648000"/>
  </r>
  <r>
    <x v="6"/>
    <x v="2"/>
    <x v="2"/>
    <x v="1"/>
    <n v="150"/>
    <n v="3000"/>
    <n v="8"/>
    <n v="21"/>
    <n v="450000"/>
  </r>
  <r>
    <x v="7"/>
    <x v="3"/>
    <x v="3"/>
    <x v="0"/>
    <n v="200"/>
    <n v="4000"/>
    <n v="15"/>
    <n v="27"/>
    <n v="800000"/>
  </r>
  <r>
    <x v="8"/>
    <x v="0"/>
    <x v="0"/>
    <x v="2"/>
    <n v="170"/>
    <n v="3400"/>
    <n v="18"/>
    <n v="23"/>
    <n v="578000"/>
  </r>
  <r>
    <x v="9"/>
    <x v="1"/>
    <x v="1"/>
    <x v="2"/>
    <n v="130"/>
    <n v="2600"/>
    <n v="10"/>
    <n v="20"/>
    <n v="338000"/>
  </r>
  <r>
    <x v="10"/>
    <x v="2"/>
    <x v="2"/>
    <x v="0"/>
    <n v="160"/>
    <n v="3200"/>
    <n v="5"/>
    <n v="22"/>
    <n v="512000"/>
  </r>
  <r>
    <x v="11"/>
    <x v="3"/>
    <x v="3"/>
    <x v="1"/>
    <n v="180"/>
    <n v="3600"/>
    <n v="12"/>
    <n v="25"/>
    <n v="648000"/>
  </r>
  <r>
    <x v="12"/>
    <x v="0"/>
    <x v="0"/>
    <x v="1"/>
    <n v="140"/>
    <n v="2800"/>
    <n v="11"/>
    <n v="24"/>
    <n v="392000"/>
  </r>
  <r>
    <x v="13"/>
    <x v="1"/>
    <x v="1"/>
    <x v="0"/>
    <n v="150"/>
    <n v="3000"/>
    <n v="8"/>
    <n v="20"/>
    <n v="450000"/>
  </r>
  <r>
    <x v="14"/>
    <x v="2"/>
    <x v="2"/>
    <x v="2"/>
    <n v="190"/>
    <n v="3800"/>
    <n v="7"/>
    <n v="19"/>
    <n v="722000"/>
  </r>
  <r>
    <x v="15"/>
    <x v="3"/>
    <x v="3"/>
    <x v="2"/>
    <n v="210"/>
    <n v="4200"/>
    <n v="16"/>
    <n v="28"/>
    <n v="882000"/>
  </r>
  <r>
    <x v="16"/>
    <x v="0"/>
    <x v="0"/>
    <x v="2"/>
    <n v="160"/>
    <n v="3200"/>
    <n v="12"/>
    <n v="22"/>
    <n v="512000"/>
  </r>
  <r>
    <x v="17"/>
    <x v="1"/>
    <x v="1"/>
    <x v="1"/>
    <n v="170"/>
    <n v="3400"/>
    <n v="14"/>
    <n v="26"/>
    <n v="578000"/>
  </r>
  <r>
    <x v="18"/>
    <x v="2"/>
    <x v="2"/>
    <x v="0"/>
    <n v="140"/>
    <n v="2800"/>
    <n v="6"/>
    <n v="21"/>
    <n v="392000"/>
  </r>
  <r>
    <x v="19"/>
    <x v="3"/>
    <x v="3"/>
    <x v="1"/>
    <n v="220"/>
    <n v="4400"/>
    <n v="18"/>
    <n v="29"/>
    <n v="968000"/>
  </r>
  <r>
    <x v="20"/>
    <x v="0"/>
    <x v="0"/>
    <x v="0"/>
    <n v="130"/>
    <n v="2600"/>
    <n v="11"/>
    <n v="23"/>
    <n v="338000"/>
  </r>
  <r>
    <x v="21"/>
    <x v="1"/>
    <x v="1"/>
    <x v="2"/>
    <n v="140"/>
    <n v="2800"/>
    <n v="9"/>
    <n v="20"/>
    <n v="392000"/>
  </r>
  <r>
    <x v="22"/>
    <x v="2"/>
    <x v="2"/>
    <x v="1"/>
    <n v="190"/>
    <n v="3800"/>
    <n v="10"/>
    <n v="22"/>
    <n v="722000"/>
  </r>
  <r>
    <x v="23"/>
    <x v="3"/>
    <x v="3"/>
    <x v="0"/>
    <n v="160"/>
    <n v="3200"/>
    <n v="13"/>
    <n v="26"/>
    <n v="512000"/>
  </r>
  <r>
    <x v="24"/>
    <x v="0"/>
    <x v="0"/>
    <x v="2"/>
    <n v="180"/>
    <n v="3600"/>
    <n v="15"/>
    <n v="24"/>
    <n v="648000"/>
  </r>
  <r>
    <x v="25"/>
    <x v="1"/>
    <x v="1"/>
    <x v="0"/>
    <n v="170"/>
    <n v="3400"/>
    <n v="8"/>
    <n v="21"/>
    <n v="578000"/>
  </r>
  <r>
    <x v="26"/>
    <x v="2"/>
    <x v="2"/>
    <x v="2"/>
    <n v="200"/>
    <n v="4000"/>
    <n v="12"/>
    <n v="28"/>
    <n v="800000"/>
  </r>
  <r>
    <x v="27"/>
    <x v="3"/>
    <x v="3"/>
    <x v="1"/>
    <n v="150"/>
    <n v="3000"/>
    <n v="16"/>
    <n v="25"/>
    <n v="450000"/>
  </r>
  <r>
    <x v="28"/>
    <x v="0"/>
    <x v="0"/>
    <x v="1"/>
    <n v="110"/>
    <n v="2200"/>
    <n v="14"/>
    <n v="20"/>
    <n v="242000"/>
  </r>
  <r>
    <x v="29"/>
    <x v="1"/>
    <x v="1"/>
    <x v="2"/>
    <n v="180"/>
    <n v="3600"/>
    <n v="11"/>
    <n v="23"/>
    <n v="648000"/>
  </r>
  <r>
    <x v="30"/>
    <x v="0"/>
    <x v="0"/>
    <x v="1"/>
    <n v="160"/>
    <n v="3200"/>
    <n v="12"/>
    <n v="22"/>
    <n v="512000"/>
  </r>
  <r>
    <x v="31"/>
    <x v="1"/>
    <x v="1"/>
    <x v="2"/>
    <n v="140"/>
    <n v="2800"/>
    <n v="14"/>
    <n v="25"/>
    <n v="392000"/>
  </r>
  <r>
    <x v="32"/>
    <x v="2"/>
    <x v="2"/>
    <x v="0"/>
    <n v="110"/>
    <n v="2200"/>
    <n v="8"/>
    <n v="20"/>
    <n v="242000"/>
  </r>
  <r>
    <x v="33"/>
    <x v="3"/>
    <x v="3"/>
    <x v="1"/>
    <n v="230"/>
    <n v="4600"/>
    <n v="10"/>
    <n v="28"/>
    <n v="1058000"/>
  </r>
  <r>
    <x v="34"/>
    <x v="0"/>
    <x v="0"/>
    <x v="2"/>
    <n v="190"/>
    <n v="3800"/>
    <n v="15"/>
    <n v="24"/>
    <n v="722000"/>
  </r>
  <r>
    <x v="35"/>
    <x v="1"/>
    <x v="1"/>
    <x v="0"/>
    <n v="140"/>
    <n v="2800"/>
    <n v="11"/>
    <n v="21"/>
    <n v="392000"/>
  </r>
  <r>
    <x v="36"/>
    <x v="2"/>
    <x v="2"/>
    <x v="1"/>
    <n v="160"/>
    <n v="3200"/>
    <n v="7"/>
    <n v="22"/>
    <n v="512000"/>
  </r>
  <r>
    <x v="37"/>
    <x v="3"/>
    <x v="3"/>
    <x v="2"/>
    <n v="220"/>
    <n v="4400"/>
    <n v="18"/>
    <n v="30"/>
    <n v="968000"/>
  </r>
  <r>
    <x v="38"/>
    <x v="0"/>
    <x v="0"/>
    <x v="0"/>
    <n v="140"/>
    <n v="2800"/>
    <n v="12"/>
    <n v="23"/>
    <n v="392000"/>
  </r>
  <r>
    <x v="39"/>
    <x v="1"/>
    <x v="1"/>
    <x v="1"/>
    <n v="120"/>
    <n v="2400"/>
    <n v="10"/>
    <n v="21"/>
    <n v="288000"/>
  </r>
  <r>
    <x v="40"/>
    <x v="2"/>
    <x v="2"/>
    <x v="2"/>
    <n v="170"/>
    <n v="3400"/>
    <n v="9"/>
    <n v="19"/>
    <n v="578000"/>
  </r>
  <r>
    <x v="41"/>
    <x v="3"/>
    <x v="3"/>
    <x v="0"/>
    <n v="200"/>
    <n v="4000"/>
    <n v="14"/>
    <n v="26"/>
    <n v="800000"/>
  </r>
  <r>
    <x v="42"/>
    <x v="0"/>
    <x v="0"/>
    <x v="1"/>
    <n v="150"/>
    <n v="3000"/>
    <n v="11"/>
    <n v="22"/>
    <n v="450000"/>
  </r>
  <r>
    <x v="43"/>
    <x v="1"/>
    <x v="1"/>
    <x v="2"/>
    <n v="180"/>
    <n v="3600"/>
    <n v="16"/>
    <n v="28"/>
    <n v="648000"/>
  </r>
  <r>
    <x v="44"/>
    <x v="2"/>
    <x v="2"/>
    <x v="0"/>
    <n v="130"/>
    <n v="2600"/>
    <n v="6"/>
    <n v="20"/>
    <n v="338000"/>
  </r>
  <r>
    <x v="45"/>
    <x v="3"/>
    <x v="3"/>
    <x v="1"/>
    <n v="190"/>
    <n v="3800"/>
    <n v="12"/>
    <n v="27"/>
    <n v="722000"/>
  </r>
  <r>
    <x v="46"/>
    <x v="0"/>
    <x v="0"/>
    <x v="2"/>
    <n v="210"/>
    <n v="4200"/>
    <n v="17"/>
    <n v="25"/>
    <n v="882000"/>
  </r>
  <r>
    <x v="47"/>
    <x v="1"/>
    <x v="1"/>
    <x v="0"/>
    <n v="160"/>
    <n v="3200"/>
    <n v="8"/>
    <n v="22"/>
    <n v="512000"/>
  </r>
  <r>
    <x v="48"/>
    <x v="2"/>
    <x v="2"/>
    <x v="1"/>
    <n v="180"/>
    <n v="3600"/>
    <n v="9"/>
    <n v="23"/>
    <n v="648000"/>
  </r>
  <r>
    <x v="49"/>
    <x v="3"/>
    <x v="3"/>
    <x v="2"/>
    <n v="170"/>
    <n v="3400"/>
    <n v="14"/>
    <n v="26"/>
    <n v="578000"/>
  </r>
  <r>
    <x v="50"/>
    <x v="0"/>
    <x v="0"/>
    <x v="0"/>
    <n v="150"/>
    <n v="3000"/>
    <n v="13"/>
    <n v="24"/>
    <n v="450000"/>
  </r>
  <r>
    <x v="51"/>
    <x v="1"/>
    <x v="1"/>
    <x v="1"/>
    <n v="140"/>
    <n v="2800"/>
    <n v="12"/>
    <n v="23"/>
    <n v="392000"/>
  </r>
  <r>
    <x v="52"/>
    <x v="2"/>
    <x v="2"/>
    <x v="2"/>
    <n v="200"/>
    <n v="4000"/>
    <n v="10"/>
    <n v="27"/>
    <n v="800000"/>
  </r>
  <r>
    <x v="53"/>
    <x v="3"/>
    <x v="3"/>
    <x v="0"/>
    <n v="170"/>
    <n v="3400"/>
    <n v="15"/>
    <n v="28"/>
    <n v="578000"/>
  </r>
  <r>
    <x v="54"/>
    <x v="0"/>
    <x v="0"/>
    <x v="1"/>
    <n v="120"/>
    <n v="2400"/>
    <n v="14"/>
    <n v="22"/>
    <n v="288000"/>
  </r>
  <r>
    <x v="55"/>
    <x v="1"/>
    <x v="1"/>
    <x v="2"/>
    <n v="190"/>
    <n v="3800"/>
    <n v="11"/>
    <n v="20"/>
    <n v="722000"/>
  </r>
  <r>
    <x v="56"/>
    <x v="2"/>
    <x v="2"/>
    <x v="0"/>
    <n v="140"/>
    <n v="2800"/>
    <n v="7"/>
    <n v="21"/>
    <n v="392000"/>
  </r>
  <r>
    <x v="57"/>
    <x v="3"/>
    <x v="3"/>
    <x v="1"/>
    <n v="200"/>
    <n v="4000"/>
    <n v="16"/>
    <n v="29"/>
    <n v="800000"/>
  </r>
  <r>
    <x v="58"/>
    <x v="0"/>
    <x v="0"/>
    <x v="2"/>
    <n v="160"/>
    <n v="3200"/>
    <n v="13"/>
    <n v="23"/>
    <n v="512000"/>
  </r>
  <r>
    <x v="59"/>
    <x v="1"/>
    <x v="1"/>
    <x v="0"/>
    <n v="180"/>
    <n v="3600"/>
    <n v="10"/>
    <n v="24"/>
    <n v="648000"/>
  </r>
  <r>
    <x v="60"/>
    <x v="2"/>
    <x v="2"/>
    <x v="1"/>
    <n v="220"/>
    <n v="4400"/>
    <n v="9"/>
    <n v="25"/>
    <n v="968000"/>
  </r>
  <r>
    <x v="61"/>
    <x v="3"/>
    <x v="3"/>
    <x v="2"/>
    <n v="230"/>
    <n v="4600"/>
    <n v="17"/>
    <n v="30"/>
    <n v="1058000"/>
  </r>
  <r>
    <x v="62"/>
    <x v="0"/>
    <x v="0"/>
    <x v="0"/>
    <n v="110"/>
    <n v="2200"/>
    <n v="11"/>
    <n v="21"/>
    <n v="242000"/>
  </r>
  <r>
    <x v="63"/>
    <x v="1"/>
    <x v="1"/>
    <x v="1"/>
    <n v="130"/>
    <n v="2600"/>
    <n v="8"/>
    <n v="22"/>
    <n v="338000"/>
  </r>
  <r>
    <x v="64"/>
    <x v="2"/>
    <x v="2"/>
    <x v="2"/>
    <n v="150"/>
    <n v="3000"/>
    <n v="12"/>
    <n v="26"/>
    <n v="450000"/>
  </r>
  <r>
    <x v="65"/>
    <x v="3"/>
    <x v="3"/>
    <x v="0"/>
    <n v="140"/>
    <n v="2800"/>
    <n v="13"/>
    <n v="23"/>
    <n v="392000"/>
  </r>
  <r>
    <x v="66"/>
    <x v="0"/>
    <x v="0"/>
    <x v="1"/>
    <n v="170"/>
    <n v="3400"/>
    <n v="14"/>
    <n v="24"/>
    <n v="578000"/>
  </r>
  <r>
    <x v="67"/>
    <x v="1"/>
    <x v="1"/>
    <x v="2"/>
    <n v="160"/>
    <n v="3200"/>
    <n v="16"/>
    <n v="27"/>
    <n v="512000"/>
  </r>
  <r>
    <x v="68"/>
    <x v="2"/>
    <x v="2"/>
    <x v="0"/>
    <n v="180"/>
    <n v="3600"/>
    <n v="10"/>
    <n v="22"/>
    <n v="648000"/>
  </r>
  <r>
    <x v="69"/>
    <x v="3"/>
    <x v="3"/>
    <x v="1"/>
    <n v="150"/>
    <n v="3000"/>
    <n v="15"/>
    <n v="29"/>
    <n v="450000"/>
  </r>
  <r>
    <x v="70"/>
    <x v="0"/>
    <x v="0"/>
    <x v="2"/>
    <n v="200"/>
    <n v="4000"/>
    <n v="12"/>
    <n v="25"/>
    <n v="800000"/>
  </r>
  <r>
    <x v="71"/>
    <x v="1"/>
    <x v="1"/>
    <x v="0"/>
    <n v="140"/>
    <n v="2800"/>
    <n v="11"/>
    <n v="20"/>
    <n v="392000"/>
  </r>
  <r>
    <x v="72"/>
    <x v="2"/>
    <x v="2"/>
    <x v="1"/>
    <n v="160"/>
    <n v="3200"/>
    <n v="9"/>
    <n v="22"/>
    <n v="512000"/>
  </r>
  <r>
    <x v="73"/>
    <x v="3"/>
    <x v="3"/>
    <x v="2"/>
    <n v="190"/>
    <n v="3800"/>
    <n v="13"/>
    <n v="26"/>
    <n v="722000"/>
  </r>
  <r>
    <x v="74"/>
    <x v="0"/>
    <x v="0"/>
    <x v="1"/>
    <n v="200"/>
    <n v="4000"/>
    <n v="16"/>
    <n v="28"/>
    <n v="800000"/>
  </r>
  <r>
    <x v="75"/>
    <x v="1"/>
    <x v="1"/>
    <x v="2"/>
    <n v="180"/>
    <n v="3600"/>
    <n v="15"/>
    <n v="30"/>
    <n v="648000"/>
  </r>
  <r>
    <x v="76"/>
    <x v="2"/>
    <x v="2"/>
    <x v="0"/>
    <n v="140"/>
    <n v="2800"/>
    <n v="6"/>
    <n v="21"/>
    <n v="392000"/>
  </r>
  <r>
    <x v="77"/>
    <x v="3"/>
    <x v="3"/>
    <x v="1"/>
    <n v="220"/>
    <n v="4400"/>
    <n v="18"/>
    <n v="27"/>
    <n v="968000"/>
  </r>
  <r>
    <x v="78"/>
    <x v="0"/>
    <x v="0"/>
    <x v="2"/>
    <n v="150"/>
    <n v="3000"/>
    <n v="14"/>
    <n v="22"/>
    <n v="450000"/>
  </r>
  <r>
    <x v="79"/>
    <x v="1"/>
    <x v="1"/>
    <x v="0"/>
    <n v="160"/>
    <n v="3200"/>
    <n v="13"/>
    <n v="24"/>
    <n v="512000"/>
  </r>
  <r>
    <x v="80"/>
    <x v="2"/>
    <x v="2"/>
    <x v="1"/>
    <n v="190"/>
    <n v="3800"/>
    <n v="12"/>
    <n v="23"/>
    <n v="722000"/>
  </r>
  <r>
    <x v="81"/>
    <x v="3"/>
    <x v="3"/>
    <x v="2"/>
    <n v="210"/>
    <n v="4200"/>
    <n v="16"/>
    <n v="28"/>
    <n v="882000"/>
  </r>
  <r>
    <x v="82"/>
    <x v="0"/>
    <x v="0"/>
    <x v="0"/>
    <n v="170"/>
    <n v="3400"/>
    <n v="15"/>
    <n v="25"/>
    <n v="578000"/>
  </r>
  <r>
    <x v="83"/>
    <x v="1"/>
    <x v="1"/>
    <x v="1"/>
    <n v="140"/>
    <n v="2800"/>
    <n v="10"/>
    <n v="22"/>
    <n v="392000"/>
  </r>
  <r>
    <x v="84"/>
    <x v="2"/>
    <x v="2"/>
    <x v="2"/>
    <n v="220"/>
    <n v="4400"/>
    <n v="14"/>
    <n v="30"/>
    <n v="968000"/>
  </r>
  <r>
    <x v="85"/>
    <x v="3"/>
    <x v="3"/>
    <x v="0"/>
    <n v="130"/>
    <n v="2600"/>
    <n v="12"/>
    <n v="23"/>
    <n v="338000"/>
  </r>
  <r>
    <x v="86"/>
    <x v="0"/>
    <x v="0"/>
    <x v="1"/>
    <n v="150"/>
    <n v="3000"/>
    <n v="13"/>
    <n v="24"/>
    <n v="450000"/>
  </r>
  <r>
    <x v="87"/>
    <x v="1"/>
    <x v="1"/>
    <x v="2"/>
    <n v="200"/>
    <n v="4000"/>
    <n v="11"/>
    <n v="21"/>
    <n v="800000"/>
  </r>
  <r>
    <x v="88"/>
    <x v="2"/>
    <x v="2"/>
    <x v="0"/>
    <n v="160"/>
    <n v="3200"/>
    <n v="8"/>
    <n v="22"/>
    <n v="512000"/>
  </r>
  <r>
    <x v="89"/>
    <x v="3"/>
    <x v="3"/>
    <x v="1"/>
    <n v="180"/>
    <n v="3600"/>
    <n v="17"/>
    <n v="28"/>
    <n v="64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BAC5C1-A8BD-45EC-8823-510AB48DF2D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9:C44" firstHeaderRow="0"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2"/>
        <item x="3"/>
        <item x="1"/>
        <item t="default"/>
      </items>
    </pivotField>
    <pivotField showAll="0">
      <items count="5">
        <item x="0"/>
        <item x="3"/>
        <item x="1"/>
        <item x="2"/>
        <item t="default"/>
      </items>
    </pivotField>
    <pivotField showAll="0"/>
    <pivotField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1">
    <field x="-2"/>
  </colFields>
  <colItems count="2">
    <i>
      <x/>
    </i>
    <i i="1">
      <x v="1"/>
    </i>
  </colItems>
  <dataFields count="2">
    <dataField name="Sum of Discount (%)" fld="6" baseField="0" baseItem="0"/>
    <dataField name="Sum of Sales Amount" fld="5" baseField="0" baseItem="0"/>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 count="1" selected="0">
            <x v="0"/>
          </reference>
        </references>
      </pivotArea>
    </chartFormat>
    <chartFormat chart="3" format="19">
      <pivotArea type="data" outline="0" fieldPosition="0">
        <references count="2">
          <reference field="4294967294" count="1" selected="0">
            <x v="1"/>
          </reference>
          <reference field="1" count="1" selected="0">
            <x v="1"/>
          </reference>
        </references>
      </pivotArea>
    </chartFormat>
    <chartFormat chart="3" format="20">
      <pivotArea type="data" outline="0" fieldPosition="0">
        <references count="2">
          <reference field="4294967294" count="1" selected="0">
            <x v="1"/>
          </reference>
          <reference field="1" count="1" selected="0">
            <x v="2"/>
          </reference>
        </references>
      </pivotArea>
    </chartFormat>
    <chartFormat chart="3" format="2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6D4EF4-970A-41F1-9AE7-81476E777382}"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0:B34"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items count="5">
        <item x="0"/>
        <item x="3"/>
        <item x="1"/>
        <item x="2"/>
        <item t="default"/>
      </items>
    </pivotField>
    <pivotField axis="axisRow" showAll="0">
      <items count="4">
        <item x="0"/>
        <item x="1"/>
        <item x="2"/>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Sales Amount"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53AD84-6EC4-45B4-8E8F-2FB3D4495E3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B26"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axis="axisRow" showAll="0">
      <items count="5">
        <item x="0"/>
        <item x="3"/>
        <item x="1"/>
        <item x="2"/>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i>
    <i>
      <x v="1"/>
    </i>
    <i>
      <x v="2"/>
    </i>
    <i>
      <x v="3"/>
    </i>
    <i t="grand">
      <x/>
    </i>
  </rowItems>
  <colItems count="1">
    <i/>
  </colItems>
  <dataFields count="1">
    <dataField name="Sum of Profit Margin (%)" fld="7"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8BD508-1110-4662-9B15-7C50B499F1A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C16" firstHeaderRow="0"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0"/>
        <item x="2"/>
        <item x="3"/>
        <item x="1"/>
        <item t="default"/>
      </items>
    </pivotField>
    <pivotField showAll="0">
      <items count="5">
        <item x="0"/>
        <item x="3"/>
        <item x="1"/>
        <item x="2"/>
        <item t="default"/>
      </items>
    </pivotField>
    <pivotField showAll="0"/>
    <pivotField dataField="1"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1">
    <field x="-2"/>
  </colFields>
  <colItems count="2">
    <i>
      <x/>
    </i>
    <i i="1">
      <x v="1"/>
    </i>
  </colItems>
  <dataFields count="2">
    <dataField name="Sum of Quantity Sold" fld="4" baseField="0" baseItem="0"/>
    <dataField name="Sum of Total Sales Amount" fld="8"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 count="1" selected="0">
            <x v="0"/>
          </reference>
        </references>
      </pivotArea>
    </chartFormat>
    <chartFormat chart="3" format="19">
      <pivotArea type="data" outline="0" fieldPosition="0">
        <references count="2">
          <reference field="4294967294" count="1" selected="0">
            <x v="1"/>
          </reference>
          <reference field="1" count="1" selected="0">
            <x v="1"/>
          </reference>
        </references>
      </pivotArea>
    </chartFormat>
    <chartFormat chart="3" format="20">
      <pivotArea type="data" outline="0" fieldPosition="0">
        <references count="2">
          <reference field="4294967294" count="1" selected="0">
            <x v="1"/>
          </reference>
          <reference field="1" count="1" selected="0">
            <x v="2"/>
          </reference>
        </references>
      </pivotArea>
    </chartFormat>
    <chartFormat chart="3" format="21">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4BDD77-17A5-4A4D-8F78-551A94710D9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8">
  <location ref="A49:B53" firstHeaderRow="1" firstDataRow="1"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items count="5">
        <item x="0"/>
        <item x="3"/>
        <item x="1"/>
        <item x="2"/>
        <item t="default"/>
      </items>
    </pivotField>
    <pivotField axis="axisRow" showAll="0">
      <items count="4">
        <item x="0"/>
        <item x="1"/>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Items count="1">
    <i/>
  </colItems>
  <dataFields count="1">
    <dataField name="Sum of Total Sales Amount" fld="8" baseField="0" baseItem="0"/>
  </dataFields>
  <chartFormats count="5">
    <chartFormat chart="107" format="1" series="1">
      <pivotArea type="data" outline="0" fieldPosition="0">
        <references count="1">
          <reference field="4294967294" count="1" selected="0">
            <x v="0"/>
          </reference>
        </references>
      </pivotArea>
    </chartFormat>
    <chartFormat chart="108" format="2" series="1">
      <pivotArea type="data" outline="0" fieldPosition="0">
        <references count="1">
          <reference field="4294967294" count="1" selected="0">
            <x v="0"/>
          </reference>
        </references>
      </pivotArea>
    </chartFormat>
    <chartFormat chart="110" format="3" series="1">
      <pivotArea type="data" outline="0" fieldPosition="0">
        <references count="1">
          <reference field="4294967294" count="1" selected="0">
            <x v="0"/>
          </reference>
        </references>
      </pivotArea>
    </chartFormat>
    <chartFormat chart="111" format="4" series="1">
      <pivotArea type="data" outline="0" fieldPosition="0">
        <references count="1">
          <reference field="4294967294" count="1" selected="0">
            <x v="0"/>
          </reference>
        </references>
      </pivotArea>
    </chartFormat>
    <chartFormat chart="1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5E9886-FB1C-46E5-A241-125466F7548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items count="5">
        <item x="0"/>
        <item x="3"/>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0"/>
  </rowFields>
  <rowItems count="4">
    <i>
      <x v="1"/>
    </i>
    <i>
      <x v="2"/>
    </i>
    <i>
      <x v="3"/>
    </i>
    <i t="grand">
      <x/>
    </i>
  </rowItems>
  <colItems count="1">
    <i/>
  </colItems>
  <dataFields count="1">
    <dataField name="Sum of Sales Amou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1A0400-FE1B-4D73-B1AA-73392D5C6FF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8:E63" firstHeaderRow="1" firstDataRow="2"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0"/>
        <item x="2"/>
        <item x="3"/>
        <item x="1"/>
        <item t="default"/>
      </items>
    </pivotField>
    <pivotField showAll="0">
      <items count="5">
        <item x="0"/>
        <item x="3"/>
        <item x="1"/>
        <item x="2"/>
        <item t="default"/>
      </items>
    </pivotField>
    <pivotField axis="axisRow" showAll="0">
      <items count="4">
        <item x="0"/>
        <item x="1"/>
        <item x="2"/>
        <item t="default"/>
      </items>
    </pivotField>
    <pivotField showAll="0"/>
    <pivotField showAll="0"/>
    <pivotField showAll="0"/>
    <pivotField dataField="1"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t="grand">
      <x/>
    </i>
  </rowItems>
  <colFields count="1">
    <field x="9"/>
  </colFields>
  <colItems count="4">
    <i>
      <x v="1"/>
    </i>
    <i>
      <x v="2"/>
    </i>
    <i>
      <x v="3"/>
    </i>
    <i t="grand">
      <x/>
    </i>
  </colItems>
  <dataFields count="1">
    <dataField name="Sum of Profit Margin (%)" fld="7" baseField="0" baseItem="0"/>
  </dataFields>
  <formats count="3">
    <format dxfId="2">
      <pivotArea outline="0" collapsedLevelsAreSubtotals="1" fieldPosition="0"/>
    </format>
    <format dxfId="1">
      <pivotArea dataOnly="0" labelOnly="1" fieldPosition="0">
        <references count="1">
          <reference field="9" count="3">
            <x v="1"/>
            <x v="2"/>
            <x v="3"/>
          </reference>
        </references>
      </pivotArea>
    </format>
    <format dxfId="0">
      <pivotArea dataOnly="0" labelOnly="1" grandCol="1" outline="0" fieldPosition="0"/>
    </format>
  </formats>
  <chartFormats count="3">
    <chartFormat chart="3" format="6" series="1">
      <pivotArea type="data" outline="0" fieldPosition="0">
        <references count="2">
          <reference field="4294967294" count="1" selected="0">
            <x v="0"/>
          </reference>
          <reference field="9" count="1" selected="0">
            <x v="1"/>
          </reference>
        </references>
      </pivotArea>
    </chartFormat>
    <chartFormat chart="3" format="7" series="1">
      <pivotArea type="data" outline="0" fieldPosition="0">
        <references count="2">
          <reference field="4294967294" count="1" selected="0">
            <x v="0"/>
          </reference>
          <reference field="9" count="1" selected="0">
            <x v="2"/>
          </reference>
        </references>
      </pivotArea>
    </chartFormat>
    <chartFormat chart="3" format="8"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586650C-8E98-4A25-8E76-F35FECBF2504}" sourceName="Date">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988062044">
      <items count="368">
        <i x="32" s="1"/>
        <i x="1" s="1"/>
        <i x="61" s="1"/>
        <i x="33" s="1"/>
        <i x="2" s="1"/>
        <i x="62" s="1"/>
        <i x="34" s="1"/>
        <i x="3" s="1"/>
        <i x="63" s="1"/>
        <i x="35" s="1"/>
        <i x="4" s="1"/>
        <i x="64" s="1"/>
        <i x="36" s="1"/>
        <i x="5" s="1"/>
        <i x="65" s="1"/>
        <i x="37" s="1"/>
        <i x="6" s="1"/>
        <i x="66" s="1"/>
        <i x="38" s="1"/>
        <i x="7" s="1"/>
        <i x="67" s="1"/>
        <i x="39" s="1"/>
        <i x="8" s="1"/>
        <i x="68" s="1"/>
        <i x="40" s="1"/>
        <i x="9" s="1"/>
        <i x="69" s="1"/>
        <i x="41" s="1"/>
        <i x="10" s="1"/>
        <i x="70" s="1"/>
        <i x="42" s="1"/>
        <i x="11" s="1"/>
        <i x="71" s="1"/>
        <i x="43" s="1"/>
        <i x="12" s="1"/>
        <i x="72" s="1"/>
        <i x="44" s="1"/>
        <i x="13" s="1"/>
        <i x="73" s="1"/>
        <i x="45" s="1"/>
        <i x="14" s="1"/>
        <i x="74" s="1"/>
        <i x="46" s="1"/>
        <i x="15" s="1"/>
        <i x="75" s="1"/>
        <i x="47" s="1"/>
        <i x="16" s="1"/>
        <i x="76" s="1"/>
        <i x="48" s="1"/>
        <i x="17" s="1"/>
        <i x="77" s="1"/>
        <i x="49" s="1"/>
        <i x="18" s="1"/>
        <i x="78" s="1"/>
        <i x="50" s="1"/>
        <i x="19" s="1"/>
        <i x="79" s="1"/>
        <i x="51" s="1"/>
        <i x="20" s="1"/>
        <i x="80" s="1"/>
        <i x="52" s="1"/>
        <i x="21" s="1"/>
        <i x="81" s="1"/>
        <i x="53" s="1"/>
        <i x="22" s="1"/>
        <i x="82" s="1"/>
        <i x="54" s="1"/>
        <i x="23" s="1"/>
        <i x="83" s="1"/>
        <i x="55" s="1"/>
        <i x="24" s="1"/>
        <i x="84" s="1"/>
        <i x="56" s="1"/>
        <i x="25" s="1"/>
        <i x="85" s="1"/>
        <i x="57" s="1"/>
        <i x="26" s="1"/>
        <i x="86" s="1"/>
        <i x="58" s="1"/>
        <i x="27" s="1"/>
        <i x="87" s="1"/>
        <i x="59" s="1"/>
        <i x="28" s="1"/>
        <i x="88" s="1"/>
        <i x="60" s="1"/>
        <i x="29" s="1"/>
        <i x="89" s="1"/>
        <i x="30" s="1"/>
        <i x="90" s="1"/>
        <i x="91" s="1"/>
        <i x="0" s="1" nd="1"/>
        <i x="367" s="1" nd="1"/>
        <i x="92" s="1" nd="1"/>
        <i x="214" s="1" nd="1"/>
        <i x="336" s="1" nd="1"/>
        <i x="183" s="1" nd="1"/>
        <i x="153" s="1" nd="1"/>
        <i x="122" s="1" nd="1"/>
        <i x="306" s="1" nd="1"/>
        <i x="275" s="1" nd="1"/>
        <i x="245" s="1" nd="1"/>
        <i x="93" s="1" nd="1"/>
        <i x="215" s="1" nd="1"/>
        <i x="337" s="1" nd="1"/>
        <i x="184" s="1" nd="1"/>
        <i x="154" s="1" nd="1"/>
        <i x="123" s="1" nd="1"/>
        <i x="307" s="1" nd="1"/>
        <i x="276" s="1" nd="1"/>
        <i x="246" s="1" nd="1"/>
        <i x="94" s="1" nd="1"/>
        <i x="216" s="1" nd="1"/>
        <i x="338" s="1" nd="1"/>
        <i x="185" s="1" nd="1"/>
        <i x="155" s="1" nd="1"/>
        <i x="124" s="1" nd="1"/>
        <i x="308" s="1" nd="1"/>
        <i x="277" s="1" nd="1"/>
        <i x="247" s="1" nd="1"/>
        <i x="95" s="1" nd="1"/>
        <i x="217" s="1" nd="1"/>
        <i x="339" s="1" nd="1"/>
        <i x="186" s="1" nd="1"/>
        <i x="156" s="1" nd="1"/>
        <i x="125" s="1" nd="1"/>
        <i x="309" s="1" nd="1"/>
        <i x="278" s="1" nd="1"/>
        <i x="248" s="1" nd="1"/>
        <i x="96" s="1" nd="1"/>
        <i x="218" s="1" nd="1"/>
        <i x="340" s="1" nd="1"/>
        <i x="187" s="1" nd="1"/>
        <i x="157" s="1" nd="1"/>
        <i x="126" s="1" nd="1"/>
        <i x="310" s="1" nd="1"/>
        <i x="279" s="1" nd="1"/>
        <i x="249" s="1" nd="1"/>
        <i x="97" s="1" nd="1"/>
        <i x="219" s="1" nd="1"/>
        <i x="341" s="1" nd="1"/>
        <i x="188" s="1" nd="1"/>
        <i x="158" s="1" nd="1"/>
        <i x="127" s="1" nd="1"/>
        <i x="311" s="1" nd="1"/>
        <i x="280" s="1" nd="1"/>
        <i x="250" s="1" nd="1"/>
        <i x="98" s="1" nd="1"/>
        <i x="220" s="1" nd="1"/>
        <i x="342" s="1" nd="1"/>
        <i x="189" s="1" nd="1"/>
        <i x="159" s="1" nd="1"/>
        <i x="128" s="1" nd="1"/>
        <i x="312" s="1" nd="1"/>
        <i x="281" s="1" nd="1"/>
        <i x="251" s="1" nd="1"/>
        <i x="99" s="1" nd="1"/>
        <i x="221" s="1" nd="1"/>
        <i x="343" s="1" nd="1"/>
        <i x="190" s="1" nd="1"/>
        <i x="160" s="1" nd="1"/>
        <i x="129" s="1" nd="1"/>
        <i x="313" s="1" nd="1"/>
        <i x="282" s="1" nd="1"/>
        <i x="252" s="1" nd="1"/>
        <i x="100" s="1" nd="1"/>
        <i x="222" s="1" nd="1"/>
        <i x="344" s="1" nd="1"/>
        <i x="191" s="1" nd="1"/>
        <i x="161" s="1" nd="1"/>
        <i x="130" s="1" nd="1"/>
        <i x="314" s="1" nd="1"/>
        <i x="283" s="1" nd="1"/>
        <i x="253" s="1" nd="1"/>
        <i x="101" s="1" nd="1"/>
        <i x="223" s="1" nd="1"/>
        <i x="345" s="1" nd="1"/>
        <i x="192" s="1" nd="1"/>
        <i x="162" s="1" nd="1"/>
        <i x="131" s="1" nd="1"/>
        <i x="315" s="1" nd="1"/>
        <i x="284" s="1" nd="1"/>
        <i x="254" s="1" nd="1"/>
        <i x="102" s="1" nd="1"/>
        <i x="224" s="1" nd="1"/>
        <i x="346" s="1" nd="1"/>
        <i x="193" s="1" nd="1"/>
        <i x="163" s="1" nd="1"/>
        <i x="132" s="1" nd="1"/>
        <i x="316" s="1" nd="1"/>
        <i x="285" s="1" nd="1"/>
        <i x="255" s="1" nd="1"/>
        <i x="103" s="1" nd="1"/>
        <i x="225" s="1" nd="1"/>
        <i x="347" s="1" nd="1"/>
        <i x="194" s="1" nd="1"/>
        <i x="164" s="1" nd="1"/>
        <i x="133" s="1" nd="1"/>
        <i x="317" s="1" nd="1"/>
        <i x="286" s="1" nd="1"/>
        <i x="256" s="1" nd="1"/>
        <i x="104" s="1" nd="1"/>
        <i x="226" s="1" nd="1"/>
        <i x="348" s="1" nd="1"/>
        <i x="195" s="1" nd="1"/>
        <i x="165" s="1" nd="1"/>
        <i x="134" s="1" nd="1"/>
        <i x="318" s="1" nd="1"/>
        <i x="287" s="1" nd="1"/>
        <i x="257" s="1" nd="1"/>
        <i x="105" s="1" nd="1"/>
        <i x="227" s="1" nd="1"/>
        <i x="349" s="1" nd="1"/>
        <i x="196" s="1" nd="1"/>
        <i x="166" s="1" nd="1"/>
        <i x="135" s="1" nd="1"/>
        <i x="319" s="1" nd="1"/>
        <i x="288" s="1" nd="1"/>
        <i x="258" s="1" nd="1"/>
        <i x="106" s="1" nd="1"/>
        <i x="228" s="1" nd="1"/>
        <i x="350" s="1" nd="1"/>
        <i x="197" s="1" nd="1"/>
        <i x="167" s="1" nd="1"/>
        <i x="136" s="1" nd="1"/>
        <i x="320" s="1" nd="1"/>
        <i x="289" s="1" nd="1"/>
        <i x="259" s="1" nd="1"/>
        <i x="107" s="1" nd="1"/>
        <i x="229" s="1" nd="1"/>
        <i x="351" s="1" nd="1"/>
        <i x="198" s="1" nd="1"/>
        <i x="168" s="1" nd="1"/>
        <i x="137" s="1" nd="1"/>
        <i x="321" s="1" nd="1"/>
        <i x="290" s="1" nd="1"/>
        <i x="260" s="1" nd="1"/>
        <i x="108" s="1" nd="1"/>
        <i x="230" s="1" nd="1"/>
        <i x="352" s="1" nd="1"/>
        <i x="199" s="1" nd="1"/>
        <i x="169" s="1" nd="1"/>
        <i x="138" s="1" nd="1"/>
        <i x="322" s="1" nd="1"/>
        <i x="291" s="1" nd="1"/>
        <i x="261" s="1" nd="1"/>
        <i x="109" s="1" nd="1"/>
        <i x="231" s="1" nd="1"/>
        <i x="353" s="1" nd="1"/>
        <i x="200" s="1" nd="1"/>
        <i x="170" s="1" nd="1"/>
        <i x="139" s="1" nd="1"/>
        <i x="323" s="1" nd="1"/>
        <i x="292" s="1" nd="1"/>
        <i x="262" s="1" nd="1"/>
        <i x="110" s="1" nd="1"/>
        <i x="232" s="1" nd="1"/>
        <i x="354" s="1" nd="1"/>
        <i x="201" s="1" nd="1"/>
        <i x="171" s="1" nd="1"/>
        <i x="140" s="1" nd="1"/>
        <i x="324" s="1" nd="1"/>
        <i x="293" s="1" nd="1"/>
        <i x="263" s="1" nd="1"/>
        <i x="111" s="1" nd="1"/>
        <i x="233" s="1" nd="1"/>
        <i x="355" s="1" nd="1"/>
        <i x="202" s="1" nd="1"/>
        <i x="172" s="1" nd="1"/>
        <i x="141" s="1" nd="1"/>
        <i x="325" s="1" nd="1"/>
        <i x="294" s="1" nd="1"/>
        <i x="264" s="1" nd="1"/>
        <i x="112" s="1" nd="1"/>
        <i x="234" s="1" nd="1"/>
        <i x="356" s="1" nd="1"/>
        <i x="203" s="1" nd="1"/>
        <i x="173" s="1" nd="1"/>
        <i x="142" s="1" nd="1"/>
        <i x="326" s="1" nd="1"/>
        <i x="295" s="1" nd="1"/>
        <i x="265" s="1" nd="1"/>
        <i x="113" s="1" nd="1"/>
        <i x="235" s="1" nd="1"/>
        <i x="357" s="1" nd="1"/>
        <i x="204" s="1" nd="1"/>
        <i x="174" s="1" nd="1"/>
        <i x="143" s="1" nd="1"/>
        <i x="327" s="1" nd="1"/>
        <i x="296" s="1" nd="1"/>
        <i x="266" s="1" nd="1"/>
        <i x="114" s="1" nd="1"/>
        <i x="236" s="1" nd="1"/>
        <i x="358" s="1" nd="1"/>
        <i x="205" s="1" nd="1"/>
        <i x="175" s="1" nd="1"/>
        <i x="144" s="1" nd="1"/>
        <i x="328" s="1" nd="1"/>
        <i x="297" s="1" nd="1"/>
        <i x="267" s="1" nd="1"/>
        <i x="115" s="1" nd="1"/>
        <i x="237" s="1" nd="1"/>
        <i x="359" s="1" nd="1"/>
        <i x="206" s="1" nd="1"/>
        <i x="176" s="1" nd="1"/>
        <i x="145" s="1" nd="1"/>
        <i x="329" s="1" nd="1"/>
        <i x="298" s="1" nd="1"/>
        <i x="268" s="1" nd="1"/>
        <i x="116" s="1" nd="1"/>
        <i x="238" s="1" nd="1"/>
        <i x="360" s="1" nd="1"/>
        <i x="207" s="1" nd="1"/>
        <i x="177" s="1" nd="1"/>
        <i x="146" s="1" nd="1"/>
        <i x="330" s="1" nd="1"/>
        <i x="299" s="1" nd="1"/>
        <i x="269" s="1" nd="1"/>
        <i x="117" s="1" nd="1"/>
        <i x="239" s="1" nd="1"/>
        <i x="361" s="1" nd="1"/>
        <i x="208" s="1" nd="1"/>
        <i x="178" s="1" nd="1"/>
        <i x="147" s="1" nd="1"/>
        <i x="331" s="1" nd="1"/>
        <i x="300" s="1" nd="1"/>
        <i x="270" s="1" nd="1"/>
        <i x="118" s="1" nd="1"/>
        <i x="240" s="1" nd="1"/>
        <i x="362" s="1" nd="1"/>
        <i x="209" s="1" nd="1"/>
        <i x="179" s="1" nd="1"/>
        <i x="148" s="1" nd="1"/>
        <i x="332" s="1" nd="1"/>
        <i x="301" s="1" nd="1"/>
        <i x="271" s="1" nd="1"/>
        <i x="119" s="1" nd="1"/>
        <i x="241" s="1" nd="1"/>
        <i x="363" s="1" nd="1"/>
        <i x="210" s="1" nd="1"/>
        <i x="180" s="1" nd="1"/>
        <i x="149" s="1" nd="1"/>
        <i x="333" s="1" nd="1"/>
        <i x="302" s="1" nd="1"/>
        <i x="272" s="1" nd="1"/>
        <i x="120" s="1" nd="1"/>
        <i x="242" s="1" nd="1"/>
        <i x="364" s="1" nd="1"/>
        <i x="211" s="1" nd="1"/>
        <i x="181" s="1" nd="1"/>
        <i x="150" s="1" nd="1"/>
        <i x="334" s="1" nd="1"/>
        <i x="303" s="1" nd="1"/>
        <i x="273" s="1" nd="1"/>
        <i x="121" s="1" nd="1"/>
        <i x="243" s="1" nd="1"/>
        <i x="365" s="1" nd="1"/>
        <i x="212" s="1" nd="1"/>
        <i x="182" s="1" nd="1"/>
        <i x="151" s="1" nd="1"/>
        <i x="335" s="1" nd="1"/>
        <i x="304" s="1" nd="1"/>
        <i x="274" s="1" nd="1"/>
        <i x="244" s="1" nd="1"/>
        <i x="366" s="1" nd="1"/>
        <i x="31" s="1" nd="1"/>
        <i x="213" s="1" nd="1"/>
        <i x="152" s="1" nd="1"/>
        <i x="30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EE0175-FAC0-4944-88F0-1200DCF6423C}" sourceName="Reg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988062044">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AC85B72-7516-4161-A751-425A2E4C8817}" sourceName="Salespers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988062044">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8209679-CDBC-4A0F-8669-10EB671DA7BC}" cache="Slicer_Date" caption="Date" startItem="46" columnCount="2" rowHeight="234950"/>
  <slicer name="Region" xr10:uid="{DBE99421-BB3B-4BB7-9B5A-F39A1F630CD7}" cache="Slicer_Region" caption="Region" columnCount="2" rowHeight="234950"/>
  <slicer name="Salesperson" xr10:uid="{5E57B80D-7591-423C-931E-B5318613EE91}" cache="Slicer_Salesperson" caption="Salesperson"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EE41-755E-403A-B841-C004E18EEF66}">
  <sheetPr>
    <pageSetUpPr fitToPage="1"/>
  </sheetPr>
  <dimension ref="A1:S75"/>
  <sheetViews>
    <sheetView tabSelected="1" topLeftCell="C1" workbookViewId="0">
      <selection activeCell="P4" sqref="P4"/>
    </sheetView>
  </sheetViews>
  <sheetFormatPr defaultColWidth="0" defaultRowHeight="14.4" zeroHeight="1" x14ac:dyDescent="0.3"/>
  <cols>
    <col min="1" max="2" width="0" style="12" hidden="1" customWidth="1"/>
    <col min="3" max="19" width="8.88671875" style="12" customWidth="1"/>
    <col min="20" max="16384" width="8.88671875" style="12" hidden="1"/>
  </cols>
  <sheetData>
    <row r="1" spans="1:19" x14ac:dyDescent="0.3"/>
    <row r="2" spans="1:19" ht="18" customHeight="1" x14ac:dyDescent="0.3">
      <c r="A2" s="13"/>
      <c r="D2" s="27"/>
      <c r="E2" s="27"/>
      <c r="F2" s="29" t="s">
        <v>74</v>
      </c>
      <c r="G2" s="29"/>
      <c r="H2" s="29"/>
      <c r="I2" s="29"/>
      <c r="J2" s="29"/>
      <c r="K2" s="29"/>
      <c r="L2" s="29"/>
      <c r="M2" s="29"/>
      <c r="N2" s="29"/>
      <c r="O2" s="29"/>
      <c r="P2" s="29"/>
      <c r="Q2" s="28" t="s">
        <v>75</v>
      </c>
      <c r="R2" s="28"/>
      <c r="S2" s="14"/>
    </row>
    <row r="3" spans="1:19" ht="18" customHeight="1" x14ac:dyDescent="0.3">
      <c r="A3" s="13"/>
      <c r="D3" s="27"/>
      <c r="E3" s="27"/>
      <c r="F3" s="29"/>
      <c r="G3" s="29"/>
      <c r="H3" s="29"/>
      <c r="I3" s="29"/>
      <c r="J3" s="29"/>
      <c r="K3" s="29"/>
      <c r="L3" s="29"/>
      <c r="M3" s="29"/>
      <c r="N3" s="29"/>
      <c r="O3" s="29"/>
      <c r="P3" s="29"/>
      <c r="Q3" s="28"/>
      <c r="R3" s="28"/>
      <c r="S3" s="14"/>
    </row>
    <row r="4" spans="1:19" ht="18" customHeight="1" x14ac:dyDescent="0.3">
      <c r="A4" s="13"/>
      <c r="D4" s="15"/>
      <c r="E4" s="15"/>
      <c r="F4" s="16"/>
      <c r="G4" s="16"/>
      <c r="H4" s="16"/>
      <c r="I4" s="16"/>
      <c r="J4" s="16"/>
      <c r="K4" s="16"/>
      <c r="L4" s="16"/>
      <c r="M4" s="16"/>
      <c r="N4" s="16"/>
      <c r="O4" s="16"/>
      <c r="P4" s="16"/>
      <c r="Q4" s="17"/>
      <c r="R4" s="17"/>
      <c r="S4" s="14"/>
    </row>
    <row r="5" spans="1:19" ht="18" customHeight="1" x14ac:dyDescent="0.35">
      <c r="A5" s="13"/>
      <c r="D5" s="21" t="s">
        <v>76</v>
      </c>
      <c r="E5" s="21"/>
      <c r="F5" s="21"/>
      <c r="G5" s="21"/>
      <c r="H5" s="22" t="s">
        <v>77</v>
      </c>
      <c r="I5" s="22"/>
      <c r="J5" s="22"/>
      <c r="K5" s="22"/>
      <c r="L5" s="24" t="s">
        <v>78</v>
      </c>
      <c r="M5" s="24"/>
      <c r="N5" s="24"/>
      <c r="O5" s="25" t="s">
        <v>79</v>
      </c>
      <c r="P5" s="25"/>
      <c r="Q5" s="25"/>
      <c r="R5" s="25"/>
      <c r="S5" s="14"/>
    </row>
    <row r="6" spans="1:19" s="19" customFormat="1" ht="18" customHeight="1" x14ac:dyDescent="0.35">
      <c r="A6" s="18"/>
      <c r="D6" s="23">
        <f>GETPIVOTDATA("Total Sales Amount",Sheet2!$A$49)</f>
        <v>52526000</v>
      </c>
      <c r="E6" s="23"/>
      <c r="F6" s="23"/>
      <c r="G6" s="23"/>
      <c r="H6" s="23">
        <f>GETPIVOTDATA("Sum of Quantity Sold",Sheet2!$A$11)</f>
        <v>15110</v>
      </c>
      <c r="I6" s="23"/>
      <c r="J6" s="23"/>
      <c r="K6" s="23"/>
      <c r="L6" s="26">
        <f>AVERAGE(Sheet1!H2:H91)</f>
        <v>23.866666666666667</v>
      </c>
      <c r="M6" s="26"/>
      <c r="N6" s="26"/>
      <c r="O6" s="26" t="s">
        <v>19</v>
      </c>
      <c r="P6" s="26"/>
      <c r="Q6" s="26"/>
      <c r="R6" s="26"/>
      <c r="S6" s="20"/>
    </row>
    <row r="7" spans="1:19" x14ac:dyDescent="0.3"/>
    <row r="8" spans="1:19" x14ac:dyDescent="0.3"/>
    <row r="9" spans="1:19" x14ac:dyDescent="0.3"/>
    <row r="10" spans="1:19" x14ac:dyDescent="0.3"/>
    <row r="11" spans="1:19" x14ac:dyDescent="0.3"/>
    <row r="12" spans="1:19" x14ac:dyDescent="0.3"/>
    <row r="13" spans="1:19" x14ac:dyDescent="0.3"/>
    <row r="14" spans="1:19" x14ac:dyDescent="0.3"/>
    <row r="15" spans="1:19" x14ac:dyDescent="0.3"/>
    <row r="16" spans="1:19" x14ac:dyDescent="0.3"/>
    <row r="17" s="12" customFormat="1" x14ac:dyDescent="0.3"/>
    <row r="18" s="12" customFormat="1" x14ac:dyDescent="0.3"/>
    <row r="19" s="12" customFormat="1" x14ac:dyDescent="0.3"/>
    <row r="20" s="12" customFormat="1" x14ac:dyDescent="0.3"/>
    <row r="21" s="12" customFormat="1" x14ac:dyDescent="0.3"/>
    <row r="22" s="12" customFormat="1" x14ac:dyDescent="0.3"/>
    <row r="23" s="12" customFormat="1" x14ac:dyDescent="0.3"/>
    <row r="24" s="12" customFormat="1" x14ac:dyDescent="0.3"/>
    <row r="25" s="12" customFormat="1" x14ac:dyDescent="0.3"/>
    <row r="26" s="12" customFormat="1" x14ac:dyDescent="0.3"/>
    <row r="27" s="12" customFormat="1" x14ac:dyDescent="0.3"/>
    <row r="28" s="12" customFormat="1" x14ac:dyDescent="0.3"/>
    <row r="29" s="12" customFormat="1" x14ac:dyDescent="0.3"/>
    <row r="30" s="12" customFormat="1" x14ac:dyDescent="0.3"/>
    <row r="31" s="12" customFormat="1" x14ac:dyDescent="0.3"/>
    <row r="32" s="12" customFormat="1" x14ac:dyDescent="0.3"/>
    <row r="33" s="12" customFormat="1" x14ac:dyDescent="0.3"/>
    <row r="34" s="12" customFormat="1" x14ac:dyDescent="0.3"/>
    <row r="35" s="12" customFormat="1" x14ac:dyDescent="0.3"/>
    <row r="36" s="12" customFormat="1" x14ac:dyDescent="0.3"/>
    <row r="37" s="12" customFormat="1" x14ac:dyDescent="0.3"/>
    <row r="38" s="12" customFormat="1" x14ac:dyDescent="0.3"/>
    <row r="39" s="12" customFormat="1" x14ac:dyDescent="0.3"/>
    <row r="40" s="12" customFormat="1" x14ac:dyDescent="0.3"/>
    <row r="41" s="12" customFormat="1" x14ac:dyDescent="0.3"/>
    <row r="42" s="12" customFormat="1" x14ac:dyDescent="0.3"/>
    <row r="43" s="12" customFormat="1" x14ac:dyDescent="0.3"/>
    <row r="44" s="12" customFormat="1" x14ac:dyDescent="0.3"/>
    <row r="45" s="12" customFormat="1" x14ac:dyDescent="0.3"/>
    <row r="46" s="12" customFormat="1" x14ac:dyDescent="0.3"/>
    <row r="47" s="12" customFormat="1" x14ac:dyDescent="0.3"/>
    <row r="48" s="12" customFormat="1" x14ac:dyDescent="0.3"/>
    <row r="49" s="12" customFormat="1" x14ac:dyDescent="0.3"/>
    <row r="50" s="12" customFormat="1" x14ac:dyDescent="0.3"/>
    <row r="51" s="12" customFormat="1" x14ac:dyDescent="0.3"/>
    <row r="52" s="12" customFormat="1" x14ac:dyDescent="0.3"/>
    <row r="53" s="12" customFormat="1" x14ac:dyDescent="0.3"/>
    <row r="54" s="12" customFormat="1" x14ac:dyDescent="0.3"/>
    <row r="55" s="12" customFormat="1" x14ac:dyDescent="0.3"/>
    <row r="56" s="12" customFormat="1" x14ac:dyDescent="0.3"/>
    <row r="57" s="12" customFormat="1" x14ac:dyDescent="0.3"/>
    <row r="58" s="12" customFormat="1" x14ac:dyDescent="0.3"/>
    <row r="59" s="12" customFormat="1" x14ac:dyDescent="0.3"/>
    <row r="60" s="12" customFormat="1" x14ac:dyDescent="0.3"/>
    <row r="61" s="12" customFormat="1" x14ac:dyDescent="0.3"/>
    <row r="62" s="12" customFormat="1" x14ac:dyDescent="0.3"/>
    <row r="63" s="12" customFormat="1" x14ac:dyDescent="0.3"/>
    <row r="64" s="12" customFormat="1" x14ac:dyDescent="0.3"/>
    <row r="65" s="12" customFormat="1" x14ac:dyDescent="0.3"/>
    <row r="66" s="12" customFormat="1" x14ac:dyDescent="0.3"/>
    <row r="67" s="12" customFormat="1" x14ac:dyDescent="0.3"/>
    <row r="68" s="12" customFormat="1" x14ac:dyDescent="0.3"/>
    <row r="69" s="12" customFormat="1" x14ac:dyDescent="0.3"/>
    <row r="70" s="12" customFormat="1" x14ac:dyDescent="0.3"/>
    <row r="71" s="12" customFormat="1" x14ac:dyDescent="0.3"/>
    <row r="72" s="12" customFormat="1" x14ac:dyDescent="0.3"/>
    <row r="73" s="12" customFormat="1" x14ac:dyDescent="0.3"/>
    <row r="74" s="12" customFormat="1" x14ac:dyDescent="0.3"/>
    <row r="75" s="12" customFormat="1" x14ac:dyDescent="0.3"/>
  </sheetData>
  <mergeCells count="11">
    <mergeCell ref="O5:R5"/>
    <mergeCell ref="L6:N6"/>
    <mergeCell ref="O6:R6"/>
    <mergeCell ref="D2:E3"/>
    <mergeCell ref="Q2:R3"/>
    <mergeCell ref="F2:P3"/>
    <mergeCell ref="D5:G5"/>
    <mergeCell ref="H5:K5"/>
    <mergeCell ref="D6:G6"/>
    <mergeCell ref="H6:K6"/>
    <mergeCell ref="L5:N5"/>
  </mergeCells>
  <pageMargins left="0.25" right="0.25" top="0.75" bottom="0.75" header="0.3" footer="0.3"/>
  <pageSetup scale="62" fitToWidth="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C53EC-0CE3-493E-BC40-FBB3E3B69E22}">
  <dimension ref="A3:P63"/>
  <sheetViews>
    <sheetView topLeftCell="A5" workbookViewId="0">
      <selection activeCell="P50" sqref="P50"/>
    </sheetView>
  </sheetViews>
  <sheetFormatPr defaultRowHeight="14.4" x14ac:dyDescent="0.3"/>
  <cols>
    <col min="1" max="1" width="22.109375" bestFit="1" customWidth="1"/>
    <col min="2" max="2" width="15.5546875" bestFit="1" customWidth="1"/>
    <col min="3" max="3" width="4" bestFit="1" customWidth="1"/>
    <col min="4" max="4" width="4.44140625" bestFit="1" customWidth="1"/>
    <col min="5" max="5" width="10.77734375" bestFit="1" customWidth="1"/>
  </cols>
  <sheetData>
    <row r="3" spans="1:3" x14ac:dyDescent="0.3">
      <c r="A3" s="7" t="s">
        <v>63</v>
      </c>
      <c r="B3" t="s">
        <v>68</v>
      </c>
    </row>
    <row r="4" spans="1:3" x14ac:dyDescent="0.3">
      <c r="A4" s="8" t="s">
        <v>65</v>
      </c>
      <c r="B4" s="9">
        <v>99600</v>
      </c>
    </row>
    <row r="5" spans="1:3" x14ac:dyDescent="0.3">
      <c r="A5" s="8" t="s">
        <v>66</v>
      </c>
      <c r="B5" s="9">
        <v>96400</v>
      </c>
    </row>
    <row r="6" spans="1:3" x14ac:dyDescent="0.3">
      <c r="A6" s="8" t="s">
        <v>67</v>
      </c>
      <c r="B6" s="9">
        <v>106200</v>
      </c>
    </row>
    <row r="7" spans="1:3" x14ac:dyDescent="0.3">
      <c r="A7" s="8" t="s">
        <v>64</v>
      </c>
      <c r="B7" s="9">
        <v>302200</v>
      </c>
    </row>
    <row r="11" spans="1:3" x14ac:dyDescent="0.3">
      <c r="A11" s="7" t="s">
        <v>63</v>
      </c>
      <c r="B11" t="s">
        <v>69</v>
      </c>
      <c r="C11" t="s">
        <v>70</v>
      </c>
    </row>
    <row r="12" spans="1:3" x14ac:dyDescent="0.3">
      <c r="A12" s="8" t="s">
        <v>9</v>
      </c>
      <c r="B12" s="9">
        <v>3570</v>
      </c>
      <c r="C12" s="9">
        <v>11466000</v>
      </c>
    </row>
    <row r="13" spans="1:3" x14ac:dyDescent="0.3">
      <c r="A13" s="8" t="s">
        <v>15</v>
      </c>
      <c r="B13" s="9">
        <v>3660</v>
      </c>
      <c r="C13" s="9">
        <v>12568000</v>
      </c>
    </row>
    <row r="14" spans="1:3" x14ac:dyDescent="0.3">
      <c r="A14" s="8" t="s">
        <v>17</v>
      </c>
      <c r="B14" s="9">
        <v>4200</v>
      </c>
      <c r="C14" s="9">
        <v>16472000</v>
      </c>
    </row>
    <row r="15" spans="1:3" x14ac:dyDescent="0.3">
      <c r="A15" s="8" t="s">
        <v>12</v>
      </c>
      <c r="B15" s="9">
        <v>3680</v>
      </c>
      <c r="C15" s="9">
        <v>12020000</v>
      </c>
    </row>
    <row r="16" spans="1:3" x14ac:dyDescent="0.3">
      <c r="A16" s="8" t="s">
        <v>64</v>
      </c>
      <c r="B16" s="9">
        <v>15110</v>
      </c>
      <c r="C16" s="9">
        <v>52526000</v>
      </c>
    </row>
    <row r="21" spans="1:2" x14ac:dyDescent="0.3">
      <c r="A21" s="7" t="s">
        <v>63</v>
      </c>
      <c r="B21" t="s">
        <v>71</v>
      </c>
    </row>
    <row r="22" spans="1:2" x14ac:dyDescent="0.3">
      <c r="A22" s="8" t="s">
        <v>10</v>
      </c>
      <c r="B22" s="9">
        <v>532</v>
      </c>
    </row>
    <row r="23" spans="1:2" x14ac:dyDescent="0.3">
      <c r="A23" s="8" t="s">
        <v>18</v>
      </c>
      <c r="B23" s="9">
        <v>598</v>
      </c>
    </row>
    <row r="24" spans="1:2" x14ac:dyDescent="0.3">
      <c r="A24" s="8" t="s">
        <v>13</v>
      </c>
      <c r="B24" s="9">
        <v>524</v>
      </c>
    </row>
    <row r="25" spans="1:2" x14ac:dyDescent="0.3">
      <c r="A25" s="8" t="s">
        <v>16</v>
      </c>
      <c r="B25" s="9">
        <v>494</v>
      </c>
    </row>
    <row r="26" spans="1:2" x14ac:dyDescent="0.3">
      <c r="A26" s="8" t="s">
        <v>64</v>
      </c>
      <c r="B26" s="9">
        <v>2148</v>
      </c>
    </row>
    <row r="30" spans="1:2" x14ac:dyDescent="0.3">
      <c r="A30" s="7" t="s">
        <v>63</v>
      </c>
      <c r="B30" t="s">
        <v>68</v>
      </c>
    </row>
    <row r="31" spans="1:2" x14ac:dyDescent="0.3">
      <c r="A31" s="8" t="s">
        <v>11</v>
      </c>
      <c r="B31" s="9">
        <v>88200</v>
      </c>
    </row>
    <row r="32" spans="1:2" x14ac:dyDescent="0.3">
      <c r="A32" s="8" t="s">
        <v>14</v>
      </c>
      <c r="B32" s="9">
        <v>103400</v>
      </c>
    </row>
    <row r="33" spans="1:3" x14ac:dyDescent="0.3">
      <c r="A33" s="8" t="s">
        <v>19</v>
      </c>
      <c r="B33" s="9">
        <v>110600</v>
      </c>
    </row>
    <row r="34" spans="1:3" x14ac:dyDescent="0.3">
      <c r="A34" s="8" t="s">
        <v>64</v>
      </c>
      <c r="B34" s="9">
        <v>302200</v>
      </c>
    </row>
    <row r="39" spans="1:3" x14ac:dyDescent="0.3">
      <c r="A39" s="7" t="s">
        <v>63</v>
      </c>
      <c r="B39" t="s">
        <v>72</v>
      </c>
      <c r="C39" t="s">
        <v>68</v>
      </c>
    </row>
    <row r="40" spans="1:3" x14ac:dyDescent="0.3">
      <c r="A40" s="8" t="s">
        <v>9</v>
      </c>
      <c r="B40" s="9">
        <v>303</v>
      </c>
      <c r="C40" s="9">
        <v>71400</v>
      </c>
    </row>
    <row r="41" spans="1:3" x14ac:dyDescent="0.3">
      <c r="A41" s="8" t="s">
        <v>15</v>
      </c>
      <c r="B41" s="9">
        <v>189</v>
      </c>
      <c r="C41" s="9">
        <v>73200</v>
      </c>
    </row>
    <row r="42" spans="1:3" x14ac:dyDescent="0.3">
      <c r="A42" s="8" t="s">
        <v>17</v>
      </c>
      <c r="B42" s="9">
        <v>330</v>
      </c>
      <c r="C42" s="9">
        <v>84000</v>
      </c>
    </row>
    <row r="43" spans="1:3" x14ac:dyDescent="0.3">
      <c r="A43" s="8" t="s">
        <v>12</v>
      </c>
      <c r="B43" s="9">
        <v>263</v>
      </c>
      <c r="C43" s="9">
        <v>73600</v>
      </c>
    </row>
    <row r="44" spans="1:3" x14ac:dyDescent="0.3">
      <c r="A44" s="8" t="s">
        <v>64</v>
      </c>
      <c r="B44" s="9">
        <v>1085</v>
      </c>
      <c r="C44" s="9">
        <v>302200</v>
      </c>
    </row>
    <row r="49" spans="1:16" x14ac:dyDescent="0.3">
      <c r="A49" s="7" t="s">
        <v>63</v>
      </c>
      <c r="B49" t="s">
        <v>70</v>
      </c>
    </row>
    <row r="50" spans="1:16" x14ac:dyDescent="0.3">
      <c r="A50" s="8" t="s">
        <v>11</v>
      </c>
      <c r="B50" s="9">
        <v>13718000</v>
      </c>
      <c r="P50" t="s">
        <v>70</v>
      </c>
    </row>
    <row r="51" spans="1:16" x14ac:dyDescent="0.3">
      <c r="A51" s="8" t="s">
        <v>14</v>
      </c>
      <c r="B51" s="9">
        <v>17946000</v>
      </c>
    </row>
    <row r="52" spans="1:16" x14ac:dyDescent="0.3">
      <c r="A52" s="8" t="s">
        <v>19</v>
      </c>
      <c r="B52" s="9">
        <v>20862000</v>
      </c>
    </row>
    <row r="53" spans="1:16" x14ac:dyDescent="0.3">
      <c r="A53" s="8" t="s">
        <v>64</v>
      </c>
      <c r="B53" s="9">
        <v>52526000</v>
      </c>
    </row>
    <row r="58" spans="1:16" x14ac:dyDescent="0.3">
      <c r="A58" s="7" t="s">
        <v>71</v>
      </c>
      <c r="B58" s="7" t="s">
        <v>73</v>
      </c>
    </row>
    <row r="59" spans="1:16" x14ac:dyDescent="0.3">
      <c r="A59" s="7" t="s">
        <v>63</v>
      </c>
      <c r="B59" s="10" t="s">
        <v>65</v>
      </c>
      <c r="C59" s="10" t="s">
        <v>66</v>
      </c>
      <c r="D59" s="10" t="s">
        <v>67</v>
      </c>
      <c r="E59" s="10" t="s">
        <v>64</v>
      </c>
    </row>
    <row r="60" spans="1:16" x14ac:dyDescent="0.3">
      <c r="A60" s="8" t="s">
        <v>11</v>
      </c>
      <c r="B60" s="11">
        <v>217</v>
      </c>
      <c r="C60" s="11">
        <v>205</v>
      </c>
      <c r="D60" s="11">
        <v>225</v>
      </c>
      <c r="E60" s="11">
        <v>647</v>
      </c>
    </row>
    <row r="61" spans="1:16" x14ac:dyDescent="0.3">
      <c r="A61" s="8" t="s">
        <v>14</v>
      </c>
      <c r="B61" s="11">
        <v>239</v>
      </c>
      <c r="C61" s="11">
        <v>239</v>
      </c>
      <c r="D61" s="11">
        <v>274</v>
      </c>
      <c r="E61" s="11">
        <v>752</v>
      </c>
    </row>
    <row r="62" spans="1:16" x14ac:dyDescent="0.3">
      <c r="A62" s="8" t="s">
        <v>19</v>
      </c>
      <c r="B62" s="11">
        <v>237</v>
      </c>
      <c r="C62" s="11">
        <v>247</v>
      </c>
      <c r="D62" s="11">
        <v>265</v>
      </c>
      <c r="E62" s="11">
        <v>749</v>
      </c>
    </row>
    <row r="63" spans="1:16" x14ac:dyDescent="0.3">
      <c r="A63" s="8" t="s">
        <v>64</v>
      </c>
      <c r="B63" s="11">
        <v>693</v>
      </c>
      <c r="C63" s="11">
        <v>691</v>
      </c>
      <c r="D63" s="11">
        <v>764</v>
      </c>
      <c r="E63" s="11">
        <v>2148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236C2-05FE-4A08-AF57-D751DC9F4342}">
  <dimension ref="A1:I155"/>
  <sheetViews>
    <sheetView topLeftCell="B112" workbookViewId="0">
      <selection activeCell="M122" sqref="M122"/>
    </sheetView>
  </sheetViews>
  <sheetFormatPr defaultRowHeight="14.4" x14ac:dyDescent="0.3"/>
  <cols>
    <col min="1" max="1" width="12.33203125" customWidth="1"/>
  </cols>
  <sheetData>
    <row r="1" spans="1:9" ht="43.2" x14ac:dyDescent="0.3">
      <c r="A1" s="1" t="s">
        <v>0</v>
      </c>
      <c r="B1" s="1" t="s">
        <v>1</v>
      </c>
      <c r="C1" s="1" t="s">
        <v>2</v>
      </c>
      <c r="D1" s="1" t="s">
        <v>3</v>
      </c>
      <c r="E1" s="1" t="s">
        <v>4</v>
      </c>
      <c r="F1" s="1" t="s">
        <v>5</v>
      </c>
      <c r="G1" s="1" t="s">
        <v>6</v>
      </c>
      <c r="H1" s="1" t="s">
        <v>7</v>
      </c>
      <c r="I1" s="1" t="s">
        <v>8</v>
      </c>
    </row>
    <row r="2" spans="1:9" ht="28.8" x14ac:dyDescent="0.3">
      <c r="A2" s="2">
        <v>45292</v>
      </c>
      <c r="B2" s="3" t="s">
        <v>9</v>
      </c>
      <c r="C2" s="3" t="s">
        <v>10</v>
      </c>
      <c r="D2" s="3" t="s">
        <v>11</v>
      </c>
      <c r="E2" s="3">
        <v>150</v>
      </c>
      <c r="F2" s="3">
        <v>3000</v>
      </c>
      <c r="G2" s="3">
        <v>10</v>
      </c>
      <c r="H2" s="3">
        <v>20</v>
      </c>
      <c r="I2" s="4">
        <f t="shared" ref="I2:I33" si="0">E2*F2</f>
        <v>450000</v>
      </c>
    </row>
    <row r="3" spans="1:9" ht="28.8" x14ac:dyDescent="0.3">
      <c r="A3" s="2">
        <v>45293</v>
      </c>
      <c r="B3" s="3" t="s">
        <v>12</v>
      </c>
      <c r="C3" s="3" t="s">
        <v>13</v>
      </c>
      <c r="D3" s="3" t="s">
        <v>14</v>
      </c>
      <c r="E3" s="3">
        <v>200</v>
      </c>
      <c r="F3" s="3">
        <v>4000</v>
      </c>
      <c r="G3" s="3">
        <v>15</v>
      </c>
      <c r="H3" s="3">
        <v>25</v>
      </c>
      <c r="I3" s="4">
        <f t="shared" si="0"/>
        <v>800000</v>
      </c>
    </row>
    <row r="4" spans="1:9" ht="28.8" x14ac:dyDescent="0.3">
      <c r="A4" s="2">
        <v>45294</v>
      </c>
      <c r="B4" s="3" t="s">
        <v>15</v>
      </c>
      <c r="C4" s="3" t="s">
        <v>16</v>
      </c>
      <c r="D4" s="3" t="s">
        <v>11</v>
      </c>
      <c r="E4" s="3">
        <v>120</v>
      </c>
      <c r="F4" s="3">
        <v>2400</v>
      </c>
      <c r="G4" s="3">
        <v>5</v>
      </c>
      <c r="H4" s="3">
        <v>18</v>
      </c>
      <c r="I4" s="4">
        <f t="shared" si="0"/>
        <v>288000</v>
      </c>
    </row>
    <row r="5" spans="1:9" ht="28.8" x14ac:dyDescent="0.3">
      <c r="A5" s="2">
        <v>45295</v>
      </c>
      <c r="B5" s="3" t="s">
        <v>17</v>
      </c>
      <c r="C5" s="3" t="s">
        <v>18</v>
      </c>
      <c r="D5" s="3" t="s">
        <v>19</v>
      </c>
      <c r="E5" s="3">
        <v>250</v>
      </c>
      <c r="F5" s="3">
        <v>5000</v>
      </c>
      <c r="G5" s="3">
        <v>20</v>
      </c>
      <c r="H5" s="3">
        <v>30</v>
      </c>
      <c r="I5" s="4">
        <f t="shared" si="0"/>
        <v>1250000</v>
      </c>
    </row>
    <row r="6" spans="1:9" ht="28.8" x14ac:dyDescent="0.3">
      <c r="A6" s="2">
        <v>45296</v>
      </c>
      <c r="B6" s="3" t="s">
        <v>9</v>
      </c>
      <c r="C6" s="3" t="s">
        <v>10</v>
      </c>
      <c r="D6" s="3" t="s">
        <v>14</v>
      </c>
      <c r="E6" s="3">
        <v>100</v>
      </c>
      <c r="F6" s="3">
        <v>2000</v>
      </c>
      <c r="G6" s="3">
        <v>10</v>
      </c>
      <c r="H6" s="3">
        <v>22</v>
      </c>
      <c r="I6" s="4">
        <f t="shared" si="0"/>
        <v>200000</v>
      </c>
    </row>
    <row r="7" spans="1:9" ht="28.8" x14ac:dyDescent="0.3">
      <c r="A7" s="2">
        <v>45297</v>
      </c>
      <c r="B7" s="3" t="s">
        <v>12</v>
      </c>
      <c r="C7" s="3" t="s">
        <v>13</v>
      </c>
      <c r="D7" s="3" t="s">
        <v>11</v>
      </c>
      <c r="E7" s="3">
        <v>180</v>
      </c>
      <c r="F7" s="3">
        <v>3600</v>
      </c>
      <c r="G7" s="3">
        <v>12</v>
      </c>
      <c r="H7" s="3">
        <v>19</v>
      </c>
      <c r="I7" s="4">
        <f t="shared" si="0"/>
        <v>648000</v>
      </c>
    </row>
    <row r="8" spans="1:9" ht="28.8" x14ac:dyDescent="0.3">
      <c r="A8" s="2">
        <v>45298</v>
      </c>
      <c r="B8" s="3" t="s">
        <v>15</v>
      </c>
      <c r="C8" s="3" t="s">
        <v>16</v>
      </c>
      <c r="D8" s="3" t="s">
        <v>14</v>
      </c>
      <c r="E8" s="3">
        <v>150</v>
      </c>
      <c r="F8" s="3">
        <v>3000</v>
      </c>
      <c r="G8" s="3">
        <v>8</v>
      </c>
      <c r="H8" s="3">
        <v>21</v>
      </c>
      <c r="I8" s="4">
        <f t="shared" si="0"/>
        <v>450000</v>
      </c>
    </row>
    <row r="9" spans="1:9" ht="28.8" x14ac:dyDescent="0.3">
      <c r="A9" s="2">
        <v>45299</v>
      </c>
      <c r="B9" s="3" t="s">
        <v>17</v>
      </c>
      <c r="C9" s="3" t="s">
        <v>18</v>
      </c>
      <c r="D9" s="3" t="s">
        <v>11</v>
      </c>
      <c r="E9" s="3">
        <v>200</v>
      </c>
      <c r="F9" s="3">
        <v>4000</v>
      </c>
      <c r="G9" s="3">
        <v>15</v>
      </c>
      <c r="H9" s="3">
        <v>27</v>
      </c>
      <c r="I9" s="4">
        <f t="shared" si="0"/>
        <v>800000</v>
      </c>
    </row>
    <row r="10" spans="1:9" ht="28.8" x14ac:dyDescent="0.3">
      <c r="A10" s="2">
        <v>45300</v>
      </c>
      <c r="B10" s="3" t="s">
        <v>9</v>
      </c>
      <c r="C10" s="3" t="s">
        <v>10</v>
      </c>
      <c r="D10" s="3" t="s">
        <v>19</v>
      </c>
      <c r="E10" s="3">
        <v>170</v>
      </c>
      <c r="F10" s="3">
        <v>3400</v>
      </c>
      <c r="G10" s="3">
        <v>18</v>
      </c>
      <c r="H10" s="3">
        <v>23</v>
      </c>
      <c r="I10" s="4">
        <f t="shared" si="0"/>
        <v>578000</v>
      </c>
    </row>
    <row r="11" spans="1:9" ht="28.8" x14ac:dyDescent="0.3">
      <c r="A11" s="2">
        <v>45301</v>
      </c>
      <c r="B11" s="3" t="s">
        <v>12</v>
      </c>
      <c r="C11" s="3" t="s">
        <v>13</v>
      </c>
      <c r="D11" s="3" t="s">
        <v>19</v>
      </c>
      <c r="E11" s="3">
        <v>130</v>
      </c>
      <c r="F11" s="3">
        <v>2600</v>
      </c>
      <c r="G11" s="3">
        <v>10</v>
      </c>
      <c r="H11" s="3">
        <v>20</v>
      </c>
      <c r="I11" s="4">
        <f t="shared" si="0"/>
        <v>338000</v>
      </c>
    </row>
    <row r="12" spans="1:9" ht="28.8" x14ac:dyDescent="0.3">
      <c r="A12" s="2">
        <v>45302</v>
      </c>
      <c r="B12" s="3" t="s">
        <v>15</v>
      </c>
      <c r="C12" s="3" t="s">
        <v>16</v>
      </c>
      <c r="D12" s="3" t="s">
        <v>11</v>
      </c>
      <c r="E12" s="3">
        <v>160</v>
      </c>
      <c r="F12" s="3">
        <v>3200</v>
      </c>
      <c r="G12" s="3">
        <v>5</v>
      </c>
      <c r="H12" s="3">
        <v>22</v>
      </c>
      <c r="I12" s="4">
        <f t="shared" si="0"/>
        <v>512000</v>
      </c>
    </row>
    <row r="13" spans="1:9" ht="28.8" x14ac:dyDescent="0.3">
      <c r="A13" s="2">
        <v>45303</v>
      </c>
      <c r="B13" s="3" t="s">
        <v>17</v>
      </c>
      <c r="C13" s="3" t="s">
        <v>18</v>
      </c>
      <c r="D13" s="3" t="s">
        <v>14</v>
      </c>
      <c r="E13" s="3">
        <v>180</v>
      </c>
      <c r="F13" s="3">
        <v>3600</v>
      </c>
      <c r="G13" s="3">
        <v>12</v>
      </c>
      <c r="H13" s="3">
        <v>25</v>
      </c>
      <c r="I13" s="4">
        <f t="shared" si="0"/>
        <v>648000</v>
      </c>
    </row>
    <row r="14" spans="1:9" ht="28.8" x14ac:dyDescent="0.3">
      <c r="A14" s="2">
        <v>45304</v>
      </c>
      <c r="B14" s="3" t="s">
        <v>9</v>
      </c>
      <c r="C14" s="3" t="s">
        <v>10</v>
      </c>
      <c r="D14" s="3" t="s">
        <v>14</v>
      </c>
      <c r="E14" s="3">
        <v>140</v>
      </c>
      <c r="F14" s="3">
        <v>2800</v>
      </c>
      <c r="G14" s="3">
        <v>11</v>
      </c>
      <c r="H14" s="3">
        <v>24</v>
      </c>
      <c r="I14" s="4">
        <f t="shared" si="0"/>
        <v>392000</v>
      </c>
    </row>
    <row r="15" spans="1:9" ht="28.8" x14ac:dyDescent="0.3">
      <c r="A15" s="2">
        <v>45305</v>
      </c>
      <c r="B15" s="3" t="s">
        <v>12</v>
      </c>
      <c r="C15" s="3" t="s">
        <v>13</v>
      </c>
      <c r="D15" s="3" t="s">
        <v>11</v>
      </c>
      <c r="E15" s="3">
        <v>150</v>
      </c>
      <c r="F15" s="3">
        <v>3000</v>
      </c>
      <c r="G15" s="3">
        <v>8</v>
      </c>
      <c r="H15" s="3">
        <v>20</v>
      </c>
      <c r="I15" s="4">
        <f t="shared" si="0"/>
        <v>450000</v>
      </c>
    </row>
    <row r="16" spans="1:9" ht="28.8" x14ac:dyDescent="0.3">
      <c r="A16" s="2">
        <v>45306</v>
      </c>
      <c r="B16" s="3" t="s">
        <v>15</v>
      </c>
      <c r="C16" s="3" t="s">
        <v>16</v>
      </c>
      <c r="D16" s="3" t="s">
        <v>19</v>
      </c>
      <c r="E16" s="3">
        <v>190</v>
      </c>
      <c r="F16" s="3">
        <v>3800</v>
      </c>
      <c r="G16" s="3">
        <v>7</v>
      </c>
      <c r="H16" s="3">
        <v>19</v>
      </c>
      <c r="I16" s="4">
        <f t="shared" si="0"/>
        <v>722000</v>
      </c>
    </row>
    <row r="17" spans="1:9" ht="28.8" x14ac:dyDescent="0.3">
      <c r="A17" s="2">
        <v>45307</v>
      </c>
      <c r="B17" s="3" t="s">
        <v>17</v>
      </c>
      <c r="C17" s="3" t="s">
        <v>18</v>
      </c>
      <c r="D17" s="3" t="s">
        <v>19</v>
      </c>
      <c r="E17" s="3">
        <v>210</v>
      </c>
      <c r="F17" s="3">
        <v>4200</v>
      </c>
      <c r="G17" s="3">
        <v>16</v>
      </c>
      <c r="H17" s="3">
        <v>28</v>
      </c>
      <c r="I17" s="4">
        <f t="shared" si="0"/>
        <v>882000</v>
      </c>
    </row>
    <row r="18" spans="1:9" ht="28.8" x14ac:dyDescent="0.3">
      <c r="A18" s="2">
        <v>45308</v>
      </c>
      <c r="B18" s="3" t="s">
        <v>9</v>
      </c>
      <c r="C18" s="3" t="s">
        <v>10</v>
      </c>
      <c r="D18" s="3" t="s">
        <v>19</v>
      </c>
      <c r="E18" s="3">
        <v>160</v>
      </c>
      <c r="F18" s="3">
        <v>3200</v>
      </c>
      <c r="G18" s="3">
        <v>12</v>
      </c>
      <c r="H18" s="3">
        <v>22</v>
      </c>
      <c r="I18" s="4">
        <f t="shared" si="0"/>
        <v>512000</v>
      </c>
    </row>
    <row r="19" spans="1:9" ht="28.8" x14ac:dyDescent="0.3">
      <c r="A19" s="2">
        <v>45309</v>
      </c>
      <c r="B19" s="3" t="s">
        <v>12</v>
      </c>
      <c r="C19" s="3" t="s">
        <v>13</v>
      </c>
      <c r="D19" s="3" t="s">
        <v>14</v>
      </c>
      <c r="E19" s="3">
        <v>170</v>
      </c>
      <c r="F19" s="3">
        <v>3400</v>
      </c>
      <c r="G19" s="3">
        <v>14</v>
      </c>
      <c r="H19" s="3">
        <v>26</v>
      </c>
      <c r="I19" s="4">
        <f t="shared" si="0"/>
        <v>578000</v>
      </c>
    </row>
    <row r="20" spans="1:9" ht="28.8" x14ac:dyDescent="0.3">
      <c r="A20" s="2">
        <v>45310</v>
      </c>
      <c r="B20" s="3" t="s">
        <v>15</v>
      </c>
      <c r="C20" s="3" t="s">
        <v>16</v>
      </c>
      <c r="D20" s="3" t="s">
        <v>11</v>
      </c>
      <c r="E20" s="3">
        <v>140</v>
      </c>
      <c r="F20" s="3">
        <v>2800</v>
      </c>
      <c r="G20" s="3">
        <v>6</v>
      </c>
      <c r="H20" s="3">
        <v>21</v>
      </c>
      <c r="I20" s="4">
        <f t="shared" si="0"/>
        <v>392000</v>
      </c>
    </row>
    <row r="21" spans="1:9" ht="28.8" x14ac:dyDescent="0.3">
      <c r="A21" s="2">
        <v>45311</v>
      </c>
      <c r="B21" s="3" t="s">
        <v>17</v>
      </c>
      <c r="C21" s="3" t="s">
        <v>18</v>
      </c>
      <c r="D21" s="3" t="s">
        <v>14</v>
      </c>
      <c r="E21" s="3">
        <v>220</v>
      </c>
      <c r="F21" s="3">
        <v>4400</v>
      </c>
      <c r="G21" s="3">
        <v>18</v>
      </c>
      <c r="H21" s="3">
        <v>29</v>
      </c>
      <c r="I21" s="4">
        <f t="shared" si="0"/>
        <v>968000</v>
      </c>
    </row>
    <row r="22" spans="1:9" ht="28.8" x14ac:dyDescent="0.3">
      <c r="A22" s="2">
        <v>45312</v>
      </c>
      <c r="B22" s="3" t="s">
        <v>9</v>
      </c>
      <c r="C22" s="3" t="s">
        <v>10</v>
      </c>
      <c r="D22" s="3" t="s">
        <v>11</v>
      </c>
      <c r="E22" s="3">
        <v>130</v>
      </c>
      <c r="F22" s="3">
        <v>2600</v>
      </c>
      <c r="G22" s="3">
        <v>11</v>
      </c>
      <c r="H22" s="3">
        <v>23</v>
      </c>
      <c r="I22" s="4">
        <f t="shared" si="0"/>
        <v>338000</v>
      </c>
    </row>
    <row r="23" spans="1:9" ht="28.8" x14ac:dyDescent="0.3">
      <c r="A23" s="2">
        <v>45313</v>
      </c>
      <c r="B23" s="3" t="s">
        <v>12</v>
      </c>
      <c r="C23" s="3" t="s">
        <v>13</v>
      </c>
      <c r="D23" s="3" t="s">
        <v>19</v>
      </c>
      <c r="E23" s="3">
        <v>140</v>
      </c>
      <c r="F23" s="3">
        <v>2800</v>
      </c>
      <c r="G23" s="3">
        <v>9</v>
      </c>
      <c r="H23" s="3">
        <v>20</v>
      </c>
      <c r="I23" s="4">
        <f t="shared" si="0"/>
        <v>392000</v>
      </c>
    </row>
    <row r="24" spans="1:9" ht="28.8" x14ac:dyDescent="0.3">
      <c r="A24" s="2">
        <v>45314</v>
      </c>
      <c r="B24" s="3" t="s">
        <v>15</v>
      </c>
      <c r="C24" s="3" t="s">
        <v>16</v>
      </c>
      <c r="D24" s="3" t="s">
        <v>14</v>
      </c>
      <c r="E24" s="3">
        <v>190</v>
      </c>
      <c r="F24" s="3">
        <v>3800</v>
      </c>
      <c r="G24" s="3">
        <v>10</v>
      </c>
      <c r="H24" s="3">
        <v>22</v>
      </c>
      <c r="I24" s="4">
        <f t="shared" si="0"/>
        <v>722000</v>
      </c>
    </row>
    <row r="25" spans="1:9" ht="28.8" x14ac:dyDescent="0.3">
      <c r="A25" s="2">
        <v>45315</v>
      </c>
      <c r="B25" s="3" t="s">
        <v>17</v>
      </c>
      <c r="C25" s="3" t="s">
        <v>18</v>
      </c>
      <c r="D25" s="3" t="s">
        <v>11</v>
      </c>
      <c r="E25" s="3">
        <v>160</v>
      </c>
      <c r="F25" s="3">
        <v>3200</v>
      </c>
      <c r="G25" s="3">
        <v>13</v>
      </c>
      <c r="H25" s="3">
        <v>26</v>
      </c>
      <c r="I25" s="4">
        <f t="shared" si="0"/>
        <v>512000</v>
      </c>
    </row>
    <row r="26" spans="1:9" ht="28.8" x14ac:dyDescent="0.3">
      <c r="A26" s="2">
        <v>45316</v>
      </c>
      <c r="B26" s="3" t="s">
        <v>9</v>
      </c>
      <c r="C26" s="3" t="s">
        <v>10</v>
      </c>
      <c r="D26" s="3" t="s">
        <v>19</v>
      </c>
      <c r="E26" s="3">
        <v>180</v>
      </c>
      <c r="F26" s="3">
        <v>3600</v>
      </c>
      <c r="G26" s="3">
        <v>15</v>
      </c>
      <c r="H26" s="3">
        <v>24</v>
      </c>
      <c r="I26" s="4">
        <f t="shared" si="0"/>
        <v>648000</v>
      </c>
    </row>
    <row r="27" spans="1:9" ht="28.8" x14ac:dyDescent="0.3">
      <c r="A27" s="2">
        <v>45317</v>
      </c>
      <c r="B27" s="3" t="s">
        <v>12</v>
      </c>
      <c r="C27" s="3" t="s">
        <v>13</v>
      </c>
      <c r="D27" s="3" t="s">
        <v>11</v>
      </c>
      <c r="E27" s="3">
        <v>170</v>
      </c>
      <c r="F27" s="3">
        <v>3400</v>
      </c>
      <c r="G27" s="3">
        <v>8</v>
      </c>
      <c r="H27" s="3">
        <v>21</v>
      </c>
      <c r="I27" s="4">
        <f t="shared" si="0"/>
        <v>578000</v>
      </c>
    </row>
    <row r="28" spans="1:9" ht="28.8" x14ac:dyDescent="0.3">
      <c r="A28" s="2">
        <v>45318</v>
      </c>
      <c r="B28" s="3" t="s">
        <v>15</v>
      </c>
      <c r="C28" s="3" t="s">
        <v>16</v>
      </c>
      <c r="D28" s="3" t="s">
        <v>19</v>
      </c>
      <c r="E28" s="3">
        <v>200</v>
      </c>
      <c r="F28" s="3">
        <v>4000</v>
      </c>
      <c r="G28" s="3">
        <v>12</v>
      </c>
      <c r="H28" s="3">
        <v>28</v>
      </c>
      <c r="I28" s="4">
        <f t="shared" si="0"/>
        <v>800000</v>
      </c>
    </row>
    <row r="29" spans="1:9" ht="28.8" x14ac:dyDescent="0.3">
      <c r="A29" s="2">
        <v>45319</v>
      </c>
      <c r="B29" s="3" t="s">
        <v>17</v>
      </c>
      <c r="C29" s="3" t="s">
        <v>18</v>
      </c>
      <c r="D29" s="3" t="s">
        <v>14</v>
      </c>
      <c r="E29" s="3">
        <v>150</v>
      </c>
      <c r="F29" s="3">
        <v>3000</v>
      </c>
      <c r="G29" s="3">
        <v>16</v>
      </c>
      <c r="H29" s="3">
        <v>25</v>
      </c>
      <c r="I29" s="4">
        <f t="shared" si="0"/>
        <v>450000</v>
      </c>
    </row>
    <row r="30" spans="1:9" ht="28.8" x14ac:dyDescent="0.3">
      <c r="A30" s="2">
        <v>45320</v>
      </c>
      <c r="B30" s="3" t="s">
        <v>9</v>
      </c>
      <c r="C30" s="3" t="s">
        <v>10</v>
      </c>
      <c r="D30" s="3" t="s">
        <v>14</v>
      </c>
      <c r="E30" s="3">
        <v>110</v>
      </c>
      <c r="F30" s="3">
        <v>2200</v>
      </c>
      <c r="G30" s="3">
        <v>14</v>
      </c>
      <c r="H30" s="3">
        <v>20</v>
      </c>
      <c r="I30" s="4">
        <f t="shared" si="0"/>
        <v>242000</v>
      </c>
    </row>
    <row r="31" spans="1:9" ht="28.8" x14ac:dyDescent="0.3">
      <c r="A31" s="2">
        <v>45321</v>
      </c>
      <c r="B31" s="3" t="s">
        <v>12</v>
      </c>
      <c r="C31" s="3" t="s">
        <v>13</v>
      </c>
      <c r="D31" s="3" t="s">
        <v>19</v>
      </c>
      <c r="E31" s="3">
        <v>180</v>
      </c>
      <c r="F31" s="3">
        <v>3600</v>
      </c>
      <c r="G31" s="3">
        <v>11</v>
      </c>
      <c r="H31" s="3">
        <v>23</v>
      </c>
      <c r="I31" s="4">
        <f t="shared" si="0"/>
        <v>648000</v>
      </c>
    </row>
    <row r="32" spans="1:9" ht="28.8" x14ac:dyDescent="0.3">
      <c r="A32" s="2">
        <v>45323</v>
      </c>
      <c r="B32" s="3" t="s">
        <v>9</v>
      </c>
      <c r="C32" s="3" t="s">
        <v>10</v>
      </c>
      <c r="D32" s="3" t="s">
        <v>14</v>
      </c>
      <c r="E32" s="3">
        <v>160</v>
      </c>
      <c r="F32" s="3">
        <v>3200</v>
      </c>
      <c r="G32" s="3">
        <v>12</v>
      </c>
      <c r="H32" s="3">
        <v>22</v>
      </c>
      <c r="I32" s="4">
        <f t="shared" si="0"/>
        <v>512000</v>
      </c>
    </row>
    <row r="33" spans="1:9" ht="28.8" x14ac:dyDescent="0.3">
      <c r="A33" s="2">
        <v>45324</v>
      </c>
      <c r="B33" s="3" t="s">
        <v>12</v>
      </c>
      <c r="C33" s="3" t="s">
        <v>13</v>
      </c>
      <c r="D33" s="3" t="s">
        <v>19</v>
      </c>
      <c r="E33" s="3">
        <v>140</v>
      </c>
      <c r="F33" s="3">
        <v>2800</v>
      </c>
      <c r="G33" s="3">
        <v>14</v>
      </c>
      <c r="H33" s="3">
        <v>25</v>
      </c>
      <c r="I33" s="4">
        <f t="shared" si="0"/>
        <v>392000</v>
      </c>
    </row>
    <row r="34" spans="1:9" ht="28.8" x14ac:dyDescent="0.3">
      <c r="A34" s="2">
        <v>45325</v>
      </c>
      <c r="B34" s="3" t="s">
        <v>15</v>
      </c>
      <c r="C34" s="3" t="s">
        <v>16</v>
      </c>
      <c r="D34" s="3" t="s">
        <v>11</v>
      </c>
      <c r="E34" s="3">
        <v>110</v>
      </c>
      <c r="F34" s="3">
        <v>2200</v>
      </c>
      <c r="G34" s="3">
        <v>8</v>
      </c>
      <c r="H34" s="3">
        <v>20</v>
      </c>
      <c r="I34" s="4">
        <f t="shared" ref="I34:I66" si="1">E34*F34</f>
        <v>242000</v>
      </c>
    </row>
    <row r="35" spans="1:9" ht="28.8" x14ac:dyDescent="0.3">
      <c r="A35" s="2">
        <v>45326</v>
      </c>
      <c r="B35" s="3" t="s">
        <v>17</v>
      </c>
      <c r="C35" s="3" t="s">
        <v>18</v>
      </c>
      <c r="D35" s="3" t="s">
        <v>14</v>
      </c>
      <c r="E35" s="3">
        <v>230</v>
      </c>
      <c r="F35" s="3">
        <v>4600</v>
      </c>
      <c r="G35" s="3">
        <v>10</v>
      </c>
      <c r="H35" s="3">
        <v>28</v>
      </c>
      <c r="I35" s="4">
        <f t="shared" si="1"/>
        <v>1058000</v>
      </c>
    </row>
    <row r="36" spans="1:9" ht="28.8" x14ac:dyDescent="0.3">
      <c r="A36" s="2">
        <v>45327</v>
      </c>
      <c r="B36" s="3" t="s">
        <v>9</v>
      </c>
      <c r="C36" s="3" t="s">
        <v>10</v>
      </c>
      <c r="D36" s="3" t="s">
        <v>19</v>
      </c>
      <c r="E36" s="3">
        <v>190</v>
      </c>
      <c r="F36" s="3">
        <v>3800</v>
      </c>
      <c r="G36" s="3">
        <v>15</v>
      </c>
      <c r="H36" s="3">
        <v>24</v>
      </c>
      <c r="I36" s="4">
        <f t="shared" si="1"/>
        <v>722000</v>
      </c>
    </row>
    <row r="37" spans="1:9" ht="28.8" x14ac:dyDescent="0.3">
      <c r="A37" s="2">
        <v>45328</v>
      </c>
      <c r="B37" s="3" t="s">
        <v>12</v>
      </c>
      <c r="C37" s="3" t="s">
        <v>13</v>
      </c>
      <c r="D37" s="3" t="s">
        <v>11</v>
      </c>
      <c r="E37" s="3">
        <v>140</v>
      </c>
      <c r="F37" s="3">
        <v>2800</v>
      </c>
      <c r="G37" s="3">
        <v>11</v>
      </c>
      <c r="H37" s="3">
        <v>21</v>
      </c>
      <c r="I37" s="4">
        <f t="shared" si="1"/>
        <v>392000</v>
      </c>
    </row>
    <row r="38" spans="1:9" ht="28.8" x14ac:dyDescent="0.3">
      <c r="A38" s="2">
        <v>45329</v>
      </c>
      <c r="B38" s="3" t="s">
        <v>15</v>
      </c>
      <c r="C38" s="3" t="s">
        <v>16</v>
      </c>
      <c r="D38" s="3" t="s">
        <v>14</v>
      </c>
      <c r="E38" s="3">
        <v>160</v>
      </c>
      <c r="F38" s="3">
        <v>3200</v>
      </c>
      <c r="G38" s="3">
        <v>7</v>
      </c>
      <c r="H38" s="3">
        <v>22</v>
      </c>
      <c r="I38" s="4">
        <f t="shared" si="1"/>
        <v>512000</v>
      </c>
    </row>
    <row r="39" spans="1:9" ht="28.8" x14ac:dyDescent="0.3">
      <c r="A39" s="2">
        <v>45330</v>
      </c>
      <c r="B39" s="3" t="s">
        <v>17</v>
      </c>
      <c r="C39" s="3" t="s">
        <v>18</v>
      </c>
      <c r="D39" s="3" t="s">
        <v>19</v>
      </c>
      <c r="E39" s="3">
        <v>220</v>
      </c>
      <c r="F39" s="3">
        <v>4400</v>
      </c>
      <c r="G39" s="3">
        <v>18</v>
      </c>
      <c r="H39" s="3">
        <v>30</v>
      </c>
      <c r="I39" s="4">
        <f t="shared" si="1"/>
        <v>968000</v>
      </c>
    </row>
    <row r="40" spans="1:9" ht="28.8" x14ac:dyDescent="0.3">
      <c r="A40" s="2">
        <v>45331</v>
      </c>
      <c r="B40" s="3" t="s">
        <v>9</v>
      </c>
      <c r="C40" s="3" t="s">
        <v>10</v>
      </c>
      <c r="D40" s="3" t="s">
        <v>11</v>
      </c>
      <c r="E40" s="3">
        <v>140</v>
      </c>
      <c r="F40" s="3">
        <v>2800</v>
      </c>
      <c r="G40" s="3">
        <v>12</v>
      </c>
      <c r="H40" s="3">
        <v>23</v>
      </c>
      <c r="I40" s="4">
        <f t="shared" si="1"/>
        <v>392000</v>
      </c>
    </row>
    <row r="41" spans="1:9" ht="28.8" x14ac:dyDescent="0.3">
      <c r="A41" s="2">
        <v>45332</v>
      </c>
      <c r="B41" s="3" t="s">
        <v>12</v>
      </c>
      <c r="C41" s="3" t="s">
        <v>13</v>
      </c>
      <c r="D41" s="3" t="s">
        <v>14</v>
      </c>
      <c r="E41" s="3">
        <v>120</v>
      </c>
      <c r="F41" s="3">
        <v>2400</v>
      </c>
      <c r="G41" s="3">
        <v>10</v>
      </c>
      <c r="H41" s="3">
        <v>21</v>
      </c>
      <c r="I41" s="4">
        <f t="shared" si="1"/>
        <v>288000</v>
      </c>
    </row>
    <row r="42" spans="1:9" ht="28.8" x14ac:dyDescent="0.3">
      <c r="A42" s="2">
        <v>45333</v>
      </c>
      <c r="B42" s="3" t="s">
        <v>15</v>
      </c>
      <c r="C42" s="3" t="s">
        <v>16</v>
      </c>
      <c r="D42" s="3" t="s">
        <v>19</v>
      </c>
      <c r="E42" s="3">
        <v>170</v>
      </c>
      <c r="F42" s="3">
        <v>3400</v>
      </c>
      <c r="G42" s="3">
        <v>9</v>
      </c>
      <c r="H42" s="3">
        <v>19</v>
      </c>
      <c r="I42" s="4">
        <f t="shared" si="1"/>
        <v>578000</v>
      </c>
    </row>
    <row r="43" spans="1:9" ht="28.8" x14ac:dyDescent="0.3">
      <c r="A43" s="2">
        <v>45334</v>
      </c>
      <c r="B43" s="3" t="s">
        <v>17</v>
      </c>
      <c r="C43" s="3" t="s">
        <v>18</v>
      </c>
      <c r="D43" s="3" t="s">
        <v>11</v>
      </c>
      <c r="E43" s="3">
        <v>200</v>
      </c>
      <c r="F43" s="3">
        <v>4000</v>
      </c>
      <c r="G43" s="3">
        <v>14</v>
      </c>
      <c r="H43" s="3">
        <v>26</v>
      </c>
      <c r="I43" s="4">
        <f t="shared" si="1"/>
        <v>800000</v>
      </c>
    </row>
    <row r="44" spans="1:9" ht="28.8" x14ac:dyDescent="0.3">
      <c r="A44" s="2">
        <v>45335</v>
      </c>
      <c r="B44" s="3" t="s">
        <v>9</v>
      </c>
      <c r="C44" s="3" t="s">
        <v>10</v>
      </c>
      <c r="D44" s="3" t="s">
        <v>14</v>
      </c>
      <c r="E44" s="3">
        <v>150</v>
      </c>
      <c r="F44" s="3">
        <v>3000</v>
      </c>
      <c r="G44" s="3">
        <v>11</v>
      </c>
      <c r="H44" s="3">
        <v>22</v>
      </c>
      <c r="I44" s="4">
        <f t="shared" si="1"/>
        <v>450000</v>
      </c>
    </row>
    <row r="45" spans="1:9" ht="28.8" x14ac:dyDescent="0.3">
      <c r="A45" s="2">
        <v>45336</v>
      </c>
      <c r="B45" s="3" t="s">
        <v>12</v>
      </c>
      <c r="C45" s="3" t="s">
        <v>13</v>
      </c>
      <c r="D45" s="3" t="s">
        <v>19</v>
      </c>
      <c r="E45" s="3">
        <v>180</v>
      </c>
      <c r="F45" s="3">
        <v>3600</v>
      </c>
      <c r="G45" s="3">
        <v>16</v>
      </c>
      <c r="H45" s="3">
        <v>28</v>
      </c>
      <c r="I45" s="4">
        <f t="shared" si="1"/>
        <v>648000</v>
      </c>
    </row>
    <row r="46" spans="1:9" ht="28.8" x14ac:dyDescent="0.3">
      <c r="A46" s="2">
        <v>45337</v>
      </c>
      <c r="B46" s="3" t="s">
        <v>15</v>
      </c>
      <c r="C46" s="3" t="s">
        <v>16</v>
      </c>
      <c r="D46" s="3" t="s">
        <v>11</v>
      </c>
      <c r="E46" s="3">
        <v>130</v>
      </c>
      <c r="F46" s="3">
        <v>2600</v>
      </c>
      <c r="G46" s="3">
        <v>6</v>
      </c>
      <c r="H46" s="3">
        <v>20</v>
      </c>
      <c r="I46" s="4">
        <f t="shared" si="1"/>
        <v>338000</v>
      </c>
    </row>
    <row r="47" spans="1:9" ht="28.8" x14ac:dyDescent="0.3">
      <c r="A47" s="2">
        <v>45338</v>
      </c>
      <c r="B47" s="3" t="s">
        <v>17</v>
      </c>
      <c r="C47" s="3" t="s">
        <v>18</v>
      </c>
      <c r="D47" s="3" t="s">
        <v>14</v>
      </c>
      <c r="E47" s="3">
        <v>190</v>
      </c>
      <c r="F47" s="3">
        <v>3800</v>
      </c>
      <c r="G47" s="3">
        <v>12</v>
      </c>
      <c r="H47" s="3">
        <v>27</v>
      </c>
      <c r="I47" s="4">
        <f t="shared" si="1"/>
        <v>722000</v>
      </c>
    </row>
    <row r="48" spans="1:9" ht="28.8" x14ac:dyDescent="0.3">
      <c r="A48" s="2">
        <v>45339</v>
      </c>
      <c r="B48" s="3" t="s">
        <v>9</v>
      </c>
      <c r="C48" s="3" t="s">
        <v>10</v>
      </c>
      <c r="D48" s="3" t="s">
        <v>19</v>
      </c>
      <c r="E48" s="3">
        <v>210</v>
      </c>
      <c r="F48" s="3">
        <v>4200</v>
      </c>
      <c r="G48" s="3">
        <v>17</v>
      </c>
      <c r="H48" s="3">
        <v>25</v>
      </c>
      <c r="I48" s="4">
        <f t="shared" si="1"/>
        <v>882000</v>
      </c>
    </row>
    <row r="49" spans="1:9" ht="28.8" x14ac:dyDescent="0.3">
      <c r="A49" s="2">
        <v>45340</v>
      </c>
      <c r="B49" s="3" t="s">
        <v>12</v>
      </c>
      <c r="C49" s="3" t="s">
        <v>13</v>
      </c>
      <c r="D49" s="3" t="s">
        <v>11</v>
      </c>
      <c r="E49" s="3">
        <v>160</v>
      </c>
      <c r="F49" s="3">
        <v>3200</v>
      </c>
      <c r="G49" s="3">
        <v>8</v>
      </c>
      <c r="H49" s="3">
        <v>22</v>
      </c>
      <c r="I49" s="4">
        <f t="shared" si="1"/>
        <v>512000</v>
      </c>
    </row>
    <row r="50" spans="1:9" ht="28.8" x14ac:dyDescent="0.3">
      <c r="A50" s="2">
        <v>45341</v>
      </c>
      <c r="B50" s="3" t="s">
        <v>15</v>
      </c>
      <c r="C50" s="3" t="s">
        <v>16</v>
      </c>
      <c r="D50" s="3" t="s">
        <v>14</v>
      </c>
      <c r="E50" s="3">
        <v>180</v>
      </c>
      <c r="F50" s="3">
        <v>3600</v>
      </c>
      <c r="G50" s="3">
        <v>9</v>
      </c>
      <c r="H50" s="3">
        <v>23</v>
      </c>
      <c r="I50" s="4">
        <f t="shared" si="1"/>
        <v>648000</v>
      </c>
    </row>
    <row r="51" spans="1:9" ht="28.8" x14ac:dyDescent="0.3">
      <c r="A51" s="2">
        <v>45342</v>
      </c>
      <c r="B51" s="3" t="s">
        <v>17</v>
      </c>
      <c r="C51" s="3" t="s">
        <v>18</v>
      </c>
      <c r="D51" s="3" t="s">
        <v>19</v>
      </c>
      <c r="E51" s="3">
        <v>170</v>
      </c>
      <c r="F51" s="3">
        <v>3400</v>
      </c>
      <c r="G51" s="3">
        <v>14</v>
      </c>
      <c r="H51" s="3">
        <v>26</v>
      </c>
      <c r="I51" s="4">
        <f t="shared" si="1"/>
        <v>578000</v>
      </c>
    </row>
    <row r="52" spans="1:9" ht="28.8" x14ac:dyDescent="0.3">
      <c r="A52" s="2">
        <v>45343</v>
      </c>
      <c r="B52" s="3" t="s">
        <v>9</v>
      </c>
      <c r="C52" s="3" t="s">
        <v>10</v>
      </c>
      <c r="D52" s="3" t="s">
        <v>11</v>
      </c>
      <c r="E52" s="3">
        <v>150</v>
      </c>
      <c r="F52" s="3">
        <v>3000</v>
      </c>
      <c r="G52" s="3">
        <v>13</v>
      </c>
      <c r="H52" s="3">
        <v>24</v>
      </c>
      <c r="I52" s="4">
        <f t="shared" si="1"/>
        <v>450000</v>
      </c>
    </row>
    <row r="53" spans="1:9" ht="28.8" x14ac:dyDescent="0.3">
      <c r="A53" s="2">
        <v>45344</v>
      </c>
      <c r="B53" s="3" t="s">
        <v>12</v>
      </c>
      <c r="C53" s="3" t="s">
        <v>13</v>
      </c>
      <c r="D53" s="3" t="s">
        <v>14</v>
      </c>
      <c r="E53" s="3">
        <v>140</v>
      </c>
      <c r="F53" s="3">
        <v>2800</v>
      </c>
      <c r="G53" s="3">
        <v>12</v>
      </c>
      <c r="H53" s="3">
        <v>23</v>
      </c>
      <c r="I53" s="4">
        <f t="shared" si="1"/>
        <v>392000</v>
      </c>
    </row>
    <row r="54" spans="1:9" ht="28.8" x14ac:dyDescent="0.3">
      <c r="A54" s="2">
        <v>45345</v>
      </c>
      <c r="B54" s="3" t="s">
        <v>15</v>
      </c>
      <c r="C54" s="3" t="s">
        <v>16</v>
      </c>
      <c r="D54" s="3" t="s">
        <v>19</v>
      </c>
      <c r="E54" s="3">
        <v>200</v>
      </c>
      <c r="F54" s="3">
        <v>4000</v>
      </c>
      <c r="G54" s="3">
        <v>10</v>
      </c>
      <c r="H54" s="3">
        <v>27</v>
      </c>
      <c r="I54" s="4">
        <f t="shared" si="1"/>
        <v>800000</v>
      </c>
    </row>
    <row r="55" spans="1:9" ht="28.8" x14ac:dyDescent="0.3">
      <c r="A55" s="2">
        <v>45346</v>
      </c>
      <c r="B55" s="3" t="s">
        <v>17</v>
      </c>
      <c r="C55" s="3" t="s">
        <v>18</v>
      </c>
      <c r="D55" s="3" t="s">
        <v>11</v>
      </c>
      <c r="E55" s="3">
        <v>170</v>
      </c>
      <c r="F55" s="3">
        <v>3400</v>
      </c>
      <c r="G55" s="3">
        <v>15</v>
      </c>
      <c r="H55" s="3">
        <v>28</v>
      </c>
      <c r="I55" s="4">
        <f t="shared" si="1"/>
        <v>578000</v>
      </c>
    </row>
    <row r="56" spans="1:9" ht="28.8" x14ac:dyDescent="0.3">
      <c r="A56" s="2">
        <v>45347</v>
      </c>
      <c r="B56" s="3" t="s">
        <v>9</v>
      </c>
      <c r="C56" s="3" t="s">
        <v>10</v>
      </c>
      <c r="D56" s="3" t="s">
        <v>14</v>
      </c>
      <c r="E56" s="3">
        <v>120</v>
      </c>
      <c r="F56" s="3">
        <v>2400</v>
      </c>
      <c r="G56" s="3">
        <v>14</v>
      </c>
      <c r="H56" s="3">
        <v>22</v>
      </c>
      <c r="I56" s="4">
        <f t="shared" si="1"/>
        <v>288000</v>
      </c>
    </row>
    <row r="57" spans="1:9" ht="28.8" x14ac:dyDescent="0.3">
      <c r="A57" s="2">
        <v>45348</v>
      </c>
      <c r="B57" s="3" t="s">
        <v>12</v>
      </c>
      <c r="C57" s="3" t="s">
        <v>13</v>
      </c>
      <c r="D57" s="3" t="s">
        <v>19</v>
      </c>
      <c r="E57" s="3">
        <v>190</v>
      </c>
      <c r="F57" s="3">
        <v>3800</v>
      </c>
      <c r="G57" s="3">
        <v>11</v>
      </c>
      <c r="H57" s="3">
        <v>20</v>
      </c>
      <c r="I57" s="4">
        <f t="shared" si="1"/>
        <v>722000</v>
      </c>
    </row>
    <row r="58" spans="1:9" ht="28.8" x14ac:dyDescent="0.3">
      <c r="A58" s="2">
        <v>45349</v>
      </c>
      <c r="B58" s="3" t="s">
        <v>15</v>
      </c>
      <c r="C58" s="3" t="s">
        <v>16</v>
      </c>
      <c r="D58" s="3" t="s">
        <v>11</v>
      </c>
      <c r="E58" s="3">
        <v>140</v>
      </c>
      <c r="F58" s="3">
        <v>2800</v>
      </c>
      <c r="G58" s="3">
        <v>7</v>
      </c>
      <c r="H58" s="3">
        <v>21</v>
      </c>
      <c r="I58" s="4">
        <f t="shared" si="1"/>
        <v>392000</v>
      </c>
    </row>
    <row r="59" spans="1:9" ht="28.8" x14ac:dyDescent="0.3">
      <c r="A59" s="2">
        <v>45350</v>
      </c>
      <c r="B59" s="3" t="s">
        <v>17</v>
      </c>
      <c r="C59" s="3" t="s">
        <v>18</v>
      </c>
      <c r="D59" s="3" t="s">
        <v>14</v>
      </c>
      <c r="E59" s="3">
        <v>200</v>
      </c>
      <c r="F59" s="3">
        <v>4000</v>
      </c>
      <c r="G59" s="3">
        <v>16</v>
      </c>
      <c r="H59" s="3">
        <v>29</v>
      </c>
      <c r="I59" s="4">
        <f t="shared" si="1"/>
        <v>800000</v>
      </c>
    </row>
    <row r="60" spans="1:9" ht="28.8" x14ac:dyDescent="0.3">
      <c r="A60" s="2">
        <v>45351</v>
      </c>
      <c r="B60" s="3" t="s">
        <v>9</v>
      </c>
      <c r="C60" s="3" t="s">
        <v>10</v>
      </c>
      <c r="D60" s="3" t="s">
        <v>19</v>
      </c>
      <c r="E60" s="3">
        <v>160</v>
      </c>
      <c r="F60" s="3">
        <v>3200</v>
      </c>
      <c r="G60" s="3">
        <v>13</v>
      </c>
      <c r="H60" s="3">
        <v>23</v>
      </c>
      <c r="I60" s="4">
        <f t="shared" si="1"/>
        <v>512000</v>
      </c>
    </row>
    <row r="61" spans="1:9" ht="28.8" x14ac:dyDescent="0.3">
      <c r="A61" s="2">
        <v>45352</v>
      </c>
      <c r="B61" s="3" t="s">
        <v>12</v>
      </c>
      <c r="C61" s="3" t="s">
        <v>13</v>
      </c>
      <c r="D61" s="3" t="s">
        <v>11</v>
      </c>
      <c r="E61" s="3">
        <v>180</v>
      </c>
      <c r="F61" s="3">
        <v>3600</v>
      </c>
      <c r="G61" s="3">
        <v>10</v>
      </c>
      <c r="H61" s="3">
        <v>24</v>
      </c>
      <c r="I61" s="4">
        <f t="shared" si="1"/>
        <v>648000</v>
      </c>
    </row>
    <row r="62" spans="1:9" ht="28.8" x14ac:dyDescent="0.3">
      <c r="A62" s="2">
        <v>45353</v>
      </c>
      <c r="B62" s="3" t="s">
        <v>15</v>
      </c>
      <c r="C62" s="3" t="s">
        <v>16</v>
      </c>
      <c r="D62" s="3" t="s">
        <v>14</v>
      </c>
      <c r="E62" s="3">
        <v>220</v>
      </c>
      <c r="F62" s="3">
        <v>4400</v>
      </c>
      <c r="G62" s="3">
        <v>9</v>
      </c>
      <c r="H62" s="3">
        <v>25</v>
      </c>
      <c r="I62" s="4">
        <f t="shared" si="1"/>
        <v>968000</v>
      </c>
    </row>
    <row r="63" spans="1:9" ht="28.8" x14ac:dyDescent="0.3">
      <c r="A63" s="2">
        <v>45354</v>
      </c>
      <c r="B63" s="3" t="s">
        <v>17</v>
      </c>
      <c r="C63" s="3" t="s">
        <v>18</v>
      </c>
      <c r="D63" s="3" t="s">
        <v>19</v>
      </c>
      <c r="E63" s="3">
        <v>230</v>
      </c>
      <c r="F63" s="3">
        <v>4600</v>
      </c>
      <c r="G63" s="3">
        <v>17</v>
      </c>
      <c r="H63" s="3">
        <v>30</v>
      </c>
      <c r="I63" s="4">
        <f t="shared" si="1"/>
        <v>1058000</v>
      </c>
    </row>
    <row r="64" spans="1:9" ht="28.8" x14ac:dyDescent="0.3">
      <c r="A64" s="2">
        <v>45355</v>
      </c>
      <c r="B64" s="3" t="s">
        <v>9</v>
      </c>
      <c r="C64" s="3" t="s">
        <v>10</v>
      </c>
      <c r="D64" s="3" t="s">
        <v>11</v>
      </c>
      <c r="E64" s="3">
        <v>110</v>
      </c>
      <c r="F64" s="3">
        <v>2200</v>
      </c>
      <c r="G64" s="3">
        <v>11</v>
      </c>
      <c r="H64" s="3">
        <v>21</v>
      </c>
      <c r="I64" s="4">
        <f t="shared" si="1"/>
        <v>242000</v>
      </c>
    </row>
    <row r="65" spans="1:9" ht="28.8" x14ac:dyDescent="0.3">
      <c r="A65" s="2">
        <v>45356</v>
      </c>
      <c r="B65" s="3" t="s">
        <v>12</v>
      </c>
      <c r="C65" s="3" t="s">
        <v>13</v>
      </c>
      <c r="D65" s="3" t="s">
        <v>14</v>
      </c>
      <c r="E65" s="3">
        <v>130</v>
      </c>
      <c r="F65" s="3">
        <v>2600</v>
      </c>
      <c r="G65" s="3">
        <v>8</v>
      </c>
      <c r="H65" s="3">
        <v>22</v>
      </c>
      <c r="I65" s="4">
        <f t="shared" si="1"/>
        <v>338000</v>
      </c>
    </row>
    <row r="66" spans="1:9" ht="28.8" x14ac:dyDescent="0.3">
      <c r="A66" s="2">
        <v>45357</v>
      </c>
      <c r="B66" s="3" t="s">
        <v>15</v>
      </c>
      <c r="C66" s="3" t="s">
        <v>16</v>
      </c>
      <c r="D66" s="3" t="s">
        <v>19</v>
      </c>
      <c r="E66" s="3">
        <v>150</v>
      </c>
      <c r="F66" s="3">
        <v>3000</v>
      </c>
      <c r="G66" s="3">
        <v>12</v>
      </c>
      <c r="H66" s="3">
        <v>26</v>
      </c>
      <c r="I66" s="4">
        <f t="shared" si="1"/>
        <v>450000</v>
      </c>
    </row>
    <row r="67" spans="1:9" ht="28.8" x14ac:dyDescent="0.3">
      <c r="A67" s="2">
        <v>45358</v>
      </c>
      <c r="B67" s="3" t="s">
        <v>17</v>
      </c>
      <c r="C67" s="3" t="s">
        <v>18</v>
      </c>
      <c r="D67" s="3" t="s">
        <v>11</v>
      </c>
      <c r="E67" s="3">
        <v>140</v>
      </c>
      <c r="F67" s="3">
        <v>2800</v>
      </c>
      <c r="G67" s="3">
        <v>13</v>
      </c>
      <c r="H67" s="3">
        <v>23</v>
      </c>
      <c r="I67" s="4">
        <f t="shared" ref="I67:I91" si="2">E67*F67</f>
        <v>392000</v>
      </c>
    </row>
    <row r="68" spans="1:9" ht="28.8" x14ac:dyDescent="0.3">
      <c r="A68" s="2">
        <v>45359</v>
      </c>
      <c r="B68" s="3" t="s">
        <v>9</v>
      </c>
      <c r="C68" s="3" t="s">
        <v>10</v>
      </c>
      <c r="D68" s="3" t="s">
        <v>14</v>
      </c>
      <c r="E68" s="3">
        <v>170</v>
      </c>
      <c r="F68" s="3">
        <v>3400</v>
      </c>
      <c r="G68" s="3">
        <v>14</v>
      </c>
      <c r="H68" s="3">
        <v>24</v>
      </c>
      <c r="I68" s="4">
        <f t="shared" si="2"/>
        <v>578000</v>
      </c>
    </row>
    <row r="69" spans="1:9" ht="28.8" x14ac:dyDescent="0.3">
      <c r="A69" s="2">
        <v>45360</v>
      </c>
      <c r="B69" s="3" t="s">
        <v>12</v>
      </c>
      <c r="C69" s="3" t="s">
        <v>13</v>
      </c>
      <c r="D69" s="3" t="s">
        <v>19</v>
      </c>
      <c r="E69" s="3">
        <v>160</v>
      </c>
      <c r="F69" s="3">
        <v>3200</v>
      </c>
      <c r="G69" s="3">
        <v>16</v>
      </c>
      <c r="H69" s="3">
        <v>27</v>
      </c>
      <c r="I69" s="4">
        <f t="shared" si="2"/>
        <v>512000</v>
      </c>
    </row>
    <row r="70" spans="1:9" ht="28.8" x14ac:dyDescent="0.3">
      <c r="A70" s="2">
        <v>45361</v>
      </c>
      <c r="B70" s="3" t="s">
        <v>15</v>
      </c>
      <c r="C70" s="3" t="s">
        <v>16</v>
      </c>
      <c r="D70" s="3" t="s">
        <v>11</v>
      </c>
      <c r="E70" s="3">
        <v>180</v>
      </c>
      <c r="F70" s="3">
        <v>3600</v>
      </c>
      <c r="G70" s="3">
        <v>10</v>
      </c>
      <c r="H70" s="3">
        <v>22</v>
      </c>
      <c r="I70" s="4">
        <f t="shared" si="2"/>
        <v>648000</v>
      </c>
    </row>
    <row r="71" spans="1:9" ht="28.8" x14ac:dyDescent="0.3">
      <c r="A71" s="2">
        <v>45362</v>
      </c>
      <c r="B71" s="3" t="s">
        <v>17</v>
      </c>
      <c r="C71" s="3" t="s">
        <v>18</v>
      </c>
      <c r="D71" s="3" t="s">
        <v>14</v>
      </c>
      <c r="E71" s="3">
        <v>150</v>
      </c>
      <c r="F71" s="3">
        <v>3000</v>
      </c>
      <c r="G71" s="3">
        <v>15</v>
      </c>
      <c r="H71" s="3">
        <v>29</v>
      </c>
      <c r="I71" s="4">
        <f t="shared" si="2"/>
        <v>450000</v>
      </c>
    </row>
    <row r="72" spans="1:9" ht="28.8" x14ac:dyDescent="0.3">
      <c r="A72" s="2">
        <v>45363</v>
      </c>
      <c r="B72" s="3" t="s">
        <v>9</v>
      </c>
      <c r="C72" s="3" t="s">
        <v>10</v>
      </c>
      <c r="D72" s="3" t="s">
        <v>19</v>
      </c>
      <c r="E72" s="3">
        <v>200</v>
      </c>
      <c r="F72" s="3">
        <v>4000</v>
      </c>
      <c r="G72" s="3">
        <v>12</v>
      </c>
      <c r="H72" s="3">
        <v>25</v>
      </c>
      <c r="I72" s="4">
        <f t="shared" si="2"/>
        <v>800000</v>
      </c>
    </row>
    <row r="73" spans="1:9" ht="28.8" x14ac:dyDescent="0.3">
      <c r="A73" s="2">
        <v>45364</v>
      </c>
      <c r="B73" s="3" t="s">
        <v>12</v>
      </c>
      <c r="C73" s="3" t="s">
        <v>13</v>
      </c>
      <c r="D73" s="3" t="s">
        <v>11</v>
      </c>
      <c r="E73" s="3">
        <v>140</v>
      </c>
      <c r="F73" s="3">
        <v>2800</v>
      </c>
      <c r="G73" s="3">
        <v>11</v>
      </c>
      <c r="H73" s="3">
        <v>20</v>
      </c>
      <c r="I73" s="4">
        <f t="shared" si="2"/>
        <v>392000</v>
      </c>
    </row>
    <row r="74" spans="1:9" ht="28.8" x14ac:dyDescent="0.3">
      <c r="A74" s="2">
        <v>45365</v>
      </c>
      <c r="B74" s="3" t="s">
        <v>15</v>
      </c>
      <c r="C74" s="3" t="s">
        <v>16</v>
      </c>
      <c r="D74" s="3" t="s">
        <v>14</v>
      </c>
      <c r="E74" s="3">
        <v>160</v>
      </c>
      <c r="F74" s="3">
        <v>3200</v>
      </c>
      <c r="G74" s="3">
        <v>9</v>
      </c>
      <c r="H74" s="3">
        <v>22</v>
      </c>
      <c r="I74" s="4">
        <f t="shared" si="2"/>
        <v>512000</v>
      </c>
    </row>
    <row r="75" spans="1:9" ht="28.8" x14ac:dyDescent="0.3">
      <c r="A75" s="2">
        <v>45366</v>
      </c>
      <c r="B75" s="3" t="s">
        <v>17</v>
      </c>
      <c r="C75" s="3" t="s">
        <v>18</v>
      </c>
      <c r="D75" s="3" t="s">
        <v>19</v>
      </c>
      <c r="E75" s="3">
        <v>190</v>
      </c>
      <c r="F75" s="3">
        <v>3800</v>
      </c>
      <c r="G75" s="3">
        <v>13</v>
      </c>
      <c r="H75" s="3">
        <v>26</v>
      </c>
      <c r="I75" s="4">
        <f t="shared" si="2"/>
        <v>722000</v>
      </c>
    </row>
    <row r="76" spans="1:9" ht="28.8" x14ac:dyDescent="0.3">
      <c r="A76" s="2">
        <v>45367</v>
      </c>
      <c r="B76" s="3" t="s">
        <v>9</v>
      </c>
      <c r="C76" s="3" t="s">
        <v>10</v>
      </c>
      <c r="D76" s="3" t="s">
        <v>14</v>
      </c>
      <c r="E76" s="3">
        <v>200</v>
      </c>
      <c r="F76" s="3">
        <v>4000</v>
      </c>
      <c r="G76" s="3">
        <v>16</v>
      </c>
      <c r="H76" s="3">
        <v>28</v>
      </c>
      <c r="I76" s="4">
        <f t="shared" si="2"/>
        <v>800000</v>
      </c>
    </row>
    <row r="77" spans="1:9" ht="28.8" x14ac:dyDescent="0.3">
      <c r="A77" s="2">
        <v>45368</v>
      </c>
      <c r="B77" s="3" t="s">
        <v>12</v>
      </c>
      <c r="C77" s="3" t="s">
        <v>13</v>
      </c>
      <c r="D77" s="3" t="s">
        <v>19</v>
      </c>
      <c r="E77" s="3">
        <v>180</v>
      </c>
      <c r="F77" s="3">
        <v>3600</v>
      </c>
      <c r="G77" s="3">
        <v>15</v>
      </c>
      <c r="H77" s="3">
        <v>30</v>
      </c>
      <c r="I77" s="4">
        <f t="shared" si="2"/>
        <v>648000</v>
      </c>
    </row>
    <row r="78" spans="1:9" ht="28.8" x14ac:dyDescent="0.3">
      <c r="A78" s="2">
        <v>45369</v>
      </c>
      <c r="B78" s="3" t="s">
        <v>15</v>
      </c>
      <c r="C78" s="3" t="s">
        <v>16</v>
      </c>
      <c r="D78" s="3" t="s">
        <v>11</v>
      </c>
      <c r="E78" s="3">
        <v>140</v>
      </c>
      <c r="F78" s="3">
        <v>2800</v>
      </c>
      <c r="G78" s="3">
        <v>6</v>
      </c>
      <c r="H78" s="3">
        <v>21</v>
      </c>
      <c r="I78" s="4">
        <f t="shared" si="2"/>
        <v>392000</v>
      </c>
    </row>
    <row r="79" spans="1:9" ht="28.8" x14ac:dyDescent="0.3">
      <c r="A79" s="2">
        <v>45370</v>
      </c>
      <c r="B79" s="3" t="s">
        <v>17</v>
      </c>
      <c r="C79" s="3" t="s">
        <v>18</v>
      </c>
      <c r="D79" s="3" t="s">
        <v>14</v>
      </c>
      <c r="E79" s="3">
        <v>220</v>
      </c>
      <c r="F79" s="3">
        <v>4400</v>
      </c>
      <c r="G79" s="3">
        <v>18</v>
      </c>
      <c r="H79" s="3">
        <v>27</v>
      </c>
      <c r="I79" s="4">
        <f t="shared" si="2"/>
        <v>968000</v>
      </c>
    </row>
    <row r="80" spans="1:9" ht="28.8" x14ac:dyDescent="0.3">
      <c r="A80" s="2">
        <v>45371</v>
      </c>
      <c r="B80" s="3" t="s">
        <v>9</v>
      </c>
      <c r="C80" s="3" t="s">
        <v>10</v>
      </c>
      <c r="D80" s="3" t="s">
        <v>19</v>
      </c>
      <c r="E80" s="3">
        <v>150</v>
      </c>
      <c r="F80" s="3">
        <v>3000</v>
      </c>
      <c r="G80" s="3">
        <v>14</v>
      </c>
      <c r="H80" s="3">
        <v>22</v>
      </c>
      <c r="I80" s="4">
        <f t="shared" si="2"/>
        <v>450000</v>
      </c>
    </row>
    <row r="81" spans="1:9" ht="28.8" x14ac:dyDescent="0.3">
      <c r="A81" s="2">
        <v>45372</v>
      </c>
      <c r="B81" s="3" t="s">
        <v>12</v>
      </c>
      <c r="C81" s="3" t="s">
        <v>13</v>
      </c>
      <c r="D81" s="3" t="s">
        <v>11</v>
      </c>
      <c r="E81" s="3">
        <v>160</v>
      </c>
      <c r="F81" s="3">
        <v>3200</v>
      </c>
      <c r="G81" s="3">
        <v>13</v>
      </c>
      <c r="H81" s="3">
        <v>24</v>
      </c>
      <c r="I81" s="4">
        <f t="shared" si="2"/>
        <v>512000</v>
      </c>
    </row>
    <row r="82" spans="1:9" ht="28.8" x14ac:dyDescent="0.3">
      <c r="A82" s="2">
        <v>45373</v>
      </c>
      <c r="B82" s="3" t="s">
        <v>15</v>
      </c>
      <c r="C82" s="3" t="s">
        <v>16</v>
      </c>
      <c r="D82" s="3" t="s">
        <v>14</v>
      </c>
      <c r="E82" s="3">
        <v>190</v>
      </c>
      <c r="F82" s="3">
        <v>3800</v>
      </c>
      <c r="G82" s="3">
        <v>12</v>
      </c>
      <c r="H82" s="3">
        <v>23</v>
      </c>
      <c r="I82" s="4">
        <f t="shared" si="2"/>
        <v>722000</v>
      </c>
    </row>
    <row r="83" spans="1:9" ht="28.8" x14ac:dyDescent="0.3">
      <c r="A83" s="2">
        <v>45374</v>
      </c>
      <c r="B83" s="3" t="s">
        <v>17</v>
      </c>
      <c r="C83" s="3" t="s">
        <v>18</v>
      </c>
      <c r="D83" s="3" t="s">
        <v>19</v>
      </c>
      <c r="E83" s="3">
        <v>210</v>
      </c>
      <c r="F83" s="3">
        <v>4200</v>
      </c>
      <c r="G83" s="3">
        <v>16</v>
      </c>
      <c r="H83" s="3">
        <v>28</v>
      </c>
      <c r="I83" s="4">
        <f t="shared" si="2"/>
        <v>882000</v>
      </c>
    </row>
    <row r="84" spans="1:9" ht="28.8" x14ac:dyDescent="0.3">
      <c r="A84" s="2">
        <v>45375</v>
      </c>
      <c r="B84" s="3" t="s">
        <v>9</v>
      </c>
      <c r="C84" s="3" t="s">
        <v>10</v>
      </c>
      <c r="D84" s="3" t="s">
        <v>11</v>
      </c>
      <c r="E84" s="3">
        <v>170</v>
      </c>
      <c r="F84" s="3">
        <v>3400</v>
      </c>
      <c r="G84" s="3">
        <v>15</v>
      </c>
      <c r="H84" s="3">
        <v>25</v>
      </c>
      <c r="I84" s="4">
        <f t="shared" si="2"/>
        <v>578000</v>
      </c>
    </row>
    <row r="85" spans="1:9" ht="28.8" x14ac:dyDescent="0.3">
      <c r="A85" s="2">
        <v>45376</v>
      </c>
      <c r="B85" s="3" t="s">
        <v>12</v>
      </c>
      <c r="C85" s="3" t="s">
        <v>13</v>
      </c>
      <c r="D85" s="3" t="s">
        <v>14</v>
      </c>
      <c r="E85" s="3">
        <v>140</v>
      </c>
      <c r="F85" s="3">
        <v>2800</v>
      </c>
      <c r="G85" s="3">
        <v>10</v>
      </c>
      <c r="H85" s="3">
        <v>22</v>
      </c>
      <c r="I85" s="4">
        <f t="shared" si="2"/>
        <v>392000</v>
      </c>
    </row>
    <row r="86" spans="1:9" ht="28.8" x14ac:dyDescent="0.3">
      <c r="A86" s="2">
        <v>45377</v>
      </c>
      <c r="B86" s="3" t="s">
        <v>15</v>
      </c>
      <c r="C86" s="3" t="s">
        <v>16</v>
      </c>
      <c r="D86" s="3" t="s">
        <v>19</v>
      </c>
      <c r="E86" s="3">
        <v>220</v>
      </c>
      <c r="F86" s="3">
        <v>4400</v>
      </c>
      <c r="G86" s="3">
        <v>14</v>
      </c>
      <c r="H86" s="3">
        <v>30</v>
      </c>
      <c r="I86" s="4">
        <f t="shared" si="2"/>
        <v>968000</v>
      </c>
    </row>
    <row r="87" spans="1:9" ht="28.8" x14ac:dyDescent="0.3">
      <c r="A87" s="2">
        <v>45378</v>
      </c>
      <c r="B87" s="3" t="s">
        <v>17</v>
      </c>
      <c r="C87" s="3" t="s">
        <v>18</v>
      </c>
      <c r="D87" s="3" t="s">
        <v>11</v>
      </c>
      <c r="E87" s="3">
        <v>130</v>
      </c>
      <c r="F87" s="3">
        <v>2600</v>
      </c>
      <c r="G87" s="3">
        <v>12</v>
      </c>
      <c r="H87" s="3">
        <v>23</v>
      </c>
      <c r="I87" s="4">
        <f t="shared" si="2"/>
        <v>338000</v>
      </c>
    </row>
    <row r="88" spans="1:9" ht="28.8" x14ac:dyDescent="0.3">
      <c r="A88" s="2">
        <v>45379</v>
      </c>
      <c r="B88" s="3" t="s">
        <v>9</v>
      </c>
      <c r="C88" s="3" t="s">
        <v>10</v>
      </c>
      <c r="D88" s="3" t="s">
        <v>14</v>
      </c>
      <c r="E88" s="3">
        <v>150</v>
      </c>
      <c r="F88" s="3">
        <v>3000</v>
      </c>
      <c r="G88" s="3">
        <v>13</v>
      </c>
      <c r="H88" s="3">
        <v>24</v>
      </c>
      <c r="I88" s="4">
        <f t="shared" si="2"/>
        <v>450000</v>
      </c>
    </row>
    <row r="89" spans="1:9" ht="28.8" x14ac:dyDescent="0.3">
      <c r="A89" s="2">
        <v>45380</v>
      </c>
      <c r="B89" s="3" t="s">
        <v>12</v>
      </c>
      <c r="C89" s="3" t="s">
        <v>13</v>
      </c>
      <c r="D89" s="3" t="s">
        <v>19</v>
      </c>
      <c r="E89" s="3">
        <v>200</v>
      </c>
      <c r="F89" s="3">
        <v>4000</v>
      </c>
      <c r="G89" s="3">
        <v>11</v>
      </c>
      <c r="H89" s="3">
        <v>21</v>
      </c>
      <c r="I89" s="4">
        <f t="shared" si="2"/>
        <v>800000</v>
      </c>
    </row>
    <row r="90" spans="1:9" ht="28.8" x14ac:dyDescent="0.3">
      <c r="A90" s="2">
        <v>45381</v>
      </c>
      <c r="B90" s="3" t="s">
        <v>15</v>
      </c>
      <c r="C90" s="3" t="s">
        <v>16</v>
      </c>
      <c r="D90" s="3" t="s">
        <v>11</v>
      </c>
      <c r="E90" s="3">
        <v>160</v>
      </c>
      <c r="F90" s="3">
        <v>3200</v>
      </c>
      <c r="G90" s="3">
        <v>8</v>
      </c>
      <c r="H90" s="3">
        <v>22</v>
      </c>
      <c r="I90" s="4">
        <f t="shared" si="2"/>
        <v>512000</v>
      </c>
    </row>
    <row r="91" spans="1:9" ht="28.8" x14ac:dyDescent="0.3">
      <c r="A91" s="2">
        <v>45382</v>
      </c>
      <c r="B91" s="3" t="s">
        <v>17</v>
      </c>
      <c r="C91" s="3" t="s">
        <v>18</v>
      </c>
      <c r="D91" s="3" t="s">
        <v>14</v>
      </c>
      <c r="E91" s="3">
        <v>180</v>
      </c>
      <c r="F91" s="3">
        <v>3600</v>
      </c>
      <c r="G91" s="3">
        <v>17</v>
      </c>
      <c r="H91" s="3">
        <v>28</v>
      </c>
      <c r="I91" s="4">
        <f t="shared" si="2"/>
        <v>648000</v>
      </c>
    </row>
    <row r="95" spans="1:9" x14ac:dyDescent="0.3">
      <c r="A95" s="31" t="s">
        <v>20</v>
      </c>
      <c r="B95" s="31"/>
      <c r="C95" s="31"/>
      <c r="D95" s="31"/>
      <c r="E95" s="31"/>
      <c r="F95" s="31"/>
      <c r="G95" s="31"/>
      <c r="H95" s="31"/>
      <c r="I95" s="31"/>
    </row>
    <row r="96" spans="1:9" x14ac:dyDescent="0.3">
      <c r="A96" s="31"/>
      <c r="B96" s="31"/>
      <c r="C96" s="31"/>
      <c r="D96" s="31"/>
      <c r="E96" s="31"/>
      <c r="F96" s="31"/>
      <c r="G96" s="31"/>
      <c r="H96" s="31"/>
      <c r="I96" s="31"/>
    </row>
    <row r="97" spans="1:9" x14ac:dyDescent="0.3">
      <c r="A97" s="30" t="s">
        <v>21</v>
      </c>
      <c r="B97" s="30"/>
      <c r="C97" s="30"/>
      <c r="D97" s="30"/>
      <c r="E97" s="30"/>
      <c r="F97" s="30"/>
      <c r="G97" s="30"/>
      <c r="H97" s="30"/>
      <c r="I97" s="30"/>
    </row>
    <row r="98" spans="1:9" x14ac:dyDescent="0.3">
      <c r="A98" s="30" t="s">
        <v>22</v>
      </c>
      <c r="B98" s="30"/>
      <c r="C98" s="30"/>
      <c r="D98" s="30"/>
      <c r="E98" s="30"/>
      <c r="F98" s="30"/>
      <c r="G98" s="30"/>
      <c r="H98" s="30"/>
      <c r="I98" s="30"/>
    </row>
    <row r="99" spans="1:9" x14ac:dyDescent="0.3">
      <c r="A99" s="30" t="s">
        <v>23</v>
      </c>
      <c r="B99" s="30"/>
      <c r="C99" s="30"/>
      <c r="D99" s="30"/>
      <c r="E99" s="30"/>
      <c r="F99" s="30"/>
      <c r="G99" s="30"/>
      <c r="H99" s="30"/>
      <c r="I99" s="30"/>
    </row>
    <row r="100" spans="1:9" x14ac:dyDescent="0.3">
      <c r="A100" s="5"/>
    </row>
    <row r="101" spans="1:9" x14ac:dyDescent="0.3">
      <c r="A101" s="30" t="s">
        <v>24</v>
      </c>
      <c r="B101" s="30"/>
      <c r="C101" s="30"/>
      <c r="D101" s="30"/>
      <c r="E101" s="30"/>
      <c r="F101" s="30"/>
      <c r="G101" s="30"/>
      <c r="H101" s="30"/>
      <c r="I101" s="30"/>
    </row>
    <row r="102" spans="1:9" x14ac:dyDescent="0.3">
      <c r="A102" s="30" t="s">
        <v>25</v>
      </c>
      <c r="B102" s="30"/>
      <c r="C102" s="30"/>
      <c r="D102" s="30"/>
      <c r="E102" s="30"/>
      <c r="F102" s="30"/>
      <c r="G102" s="30"/>
      <c r="H102" s="30"/>
      <c r="I102" s="30"/>
    </row>
    <row r="103" spans="1:9" x14ac:dyDescent="0.3">
      <c r="A103" s="30" t="s">
        <v>26</v>
      </c>
      <c r="B103" s="30"/>
      <c r="C103" s="30"/>
      <c r="D103" s="30"/>
      <c r="E103" s="30"/>
      <c r="F103" s="30"/>
      <c r="G103" s="30"/>
      <c r="H103" s="30"/>
      <c r="I103" s="30"/>
    </row>
    <row r="104" spans="1:9" x14ac:dyDescent="0.3">
      <c r="A104" s="5"/>
    </row>
    <row r="105" spans="1:9" x14ac:dyDescent="0.3">
      <c r="A105" s="30" t="s">
        <v>27</v>
      </c>
      <c r="B105" s="30"/>
      <c r="C105" s="30"/>
      <c r="D105" s="30"/>
      <c r="E105" s="30"/>
      <c r="F105" s="30"/>
      <c r="G105" s="30"/>
      <c r="H105" s="30"/>
      <c r="I105" s="30"/>
    </row>
    <row r="106" spans="1:9" x14ac:dyDescent="0.3">
      <c r="A106" s="30" t="s">
        <v>28</v>
      </c>
      <c r="B106" s="30"/>
      <c r="C106" s="30"/>
      <c r="D106" s="30"/>
      <c r="E106" s="30"/>
      <c r="F106" s="30"/>
      <c r="G106" s="30"/>
      <c r="H106" s="30"/>
      <c r="I106" s="30"/>
    </row>
    <row r="107" spans="1:9" x14ac:dyDescent="0.3">
      <c r="A107" s="30" t="s">
        <v>29</v>
      </c>
      <c r="B107" s="30"/>
      <c r="C107" s="30"/>
      <c r="D107" s="30"/>
      <c r="E107" s="30"/>
      <c r="F107" s="30"/>
      <c r="G107" s="30"/>
      <c r="H107" s="30"/>
      <c r="I107" s="30"/>
    </row>
    <row r="108" spans="1:9" x14ac:dyDescent="0.3">
      <c r="A108" s="5"/>
    </row>
    <row r="109" spans="1:9" x14ac:dyDescent="0.3">
      <c r="A109" s="30" t="s">
        <v>30</v>
      </c>
      <c r="B109" s="30"/>
      <c r="C109" s="30"/>
      <c r="D109" s="30"/>
      <c r="E109" s="30"/>
      <c r="F109" s="30"/>
      <c r="G109" s="30"/>
      <c r="H109" s="30"/>
      <c r="I109" s="30"/>
    </row>
    <row r="110" spans="1:9" x14ac:dyDescent="0.3">
      <c r="A110" s="30" t="s">
        <v>31</v>
      </c>
      <c r="B110" s="30"/>
      <c r="C110" s="30"/>
      <c r="D110" s="30"/>
      <c r="E110" s="30"/>
      <c r="F110" s="30"/>
      <c r="G110" s="30"/>
      <c r="H110" s="30"/>
      <c r="I110" s="30"/>
    </row>
    <row r="111" spans="1:9" x14ac:dyDescent="0.3">
      <c r="A111" s="30" t="s">
        <v>32</v>
      </c>
      <c r="B111" s="30"/>
      <c r="C111" s="30"/>
      <c r="D111" s="30"/>
      <c r="E111" s="30"/>
      <c r="F111" s="30"/>
      <c r="G111" s="30"/>
      <c r="H111" s="30"/>
      <c r="I111" s="30"/>
    </row>
    <row r="112" spans="1:9" x14ac:dyDescent="0.3">
      <c r="A112" s="5"/>
    </row>
    <row r="113" spans="1:9" x14ac:dyDescent="0.3">
      <c r="A113" s="30" t="s">
        <v>33</v>
      </c>
      <c r="B113" s="30"/>
      <c r="C113" s="30"/>
      <c r="D113" s="30"/>
      <c r="E113" s="30"/>
      <c r="F113" s="30"/>
      <c r="G113" s="30"/>
      <c r="H113" s="30"/>
      <c r="I113" s="30"/>
    </row>
    <row r="114" spans="1:9" x14ac:dyDescent="0.3">
      <c r="A114" s="30" t="s">
        <v>34</v>
      </c>
      <c r="B114" s="30"/>
      <c r="C114" s="30"/>
      <c r="D114" s="30"/>
      <c r="E114" s="30"/>
      <c r="F114" s="30"/>
      <c r="G114" s="30"/>
      <c r="H114" s="30"/>
      <c r="I114" s="30"/>
    </row>
    <row r="115" spans="1:9" x14ac:dyDescent="0.3">
      <c r="A115" s="30" t="s">
        <v>35</v>
      </c>
      <c r="B115" s="30"/>
      <c r="C115" s="30"/>
      <c r="D115" s="30"/>
      <c r="E115" s="30"/>
      <c r="F115" s="30"/>
      <c r="G115" s="30"/>
      <c r="H115" s="30"/>
      <c r="I115" s="30"/>
    </row>
    <row r="116" spans="1:9" x14ac:dyDescent="0.3">
      <c r="A116" s="5"/>
    </row>
    <row r="117" spans="1:9" x14ac:dyDescent="0.3">
      <c r="A117" s="6" t="s">
        <v>36</v>
      </c>
    </row>
    <row r="118" spans="1:9" x14ac:dyDescent="0.3">
      <c r="A118" s="30" t="s">
        <v>37</v>
      </c>
      <c r="B118" s="30"/>
      <c r="C118" s="30"/>
      <c r="D118" s="30"/>
      <c r="E118" s="30"/>
      <c r="F118" s="30"/>
      <c r="G118" s="30"/>
    </row>
    <row r="119" spans="1:9" x14ac:dyDescent="0.3">
      <c r="A119" s="32" t="s">
        <v>38</v>
      </c>
      <c r="B119" s="32"/>
      <c r="C119" s="32"/>
      <c r="D119" s="32"/>
      <c r="E119" s="32"/>
      <c r="F119" s="32"/>
      <c r="G119" s="32"/>
    </row>
    <row r="120" spans="1:9" x14ac:dyDescent="0.3">
      <c r="A120" s="5"/>
    </row>
    <row r="121" spans="1:9" x14ac:dyDescent="0.3">
      <c r="A121" s="30" t="s">
        <v>39</v>
      </c>
      <c r="B121" s="30"/>
      <c r="C121" s="30"/>
      <c r="D121" s="30"/>
      <c r="E121" s="30"/>
      <c r="F121" s="30"/>
      <c r="G121" s="30"/>
      <c r="H121" s="30"/>
      <c r="I121" s="30"/>
    </row>
    <row r="122" spans="1:9" x14ac:dyDescent="0.3">
      <c r="A122" s="30" t="s">
        <v>40</v>
      </c>
      <c r="B122" s="30"/>
      <c r="C122" s="30"/>
      <c r="D122" s="30"/>
      <c r="E122" s="30"/>
      <c r="F122" s="30"/>
      <c r="G122" s="30"/>
      <c r="H122" s="30"/>
      <c r="I122" s="30"/>
    </row>
    <row r="123" spans="1:9" x14ac:dyDescent="0.3">
      <c r="A123" s="30" t="s">
        <v>41</v>
      </c>
      <c r="B123" s="30"/>
      <c r="C123" s="30"/>
      <c r="D123" s="30"/>
      <c r="E123" s="30"/>
      <c r="F123" s="30"/>
      <c r="G123" s="30"/>
      <c r="H123" s="30"/>
      <c r="I123" s="30"/>
    </row>
    <row r="124" spans="1:9" x14ac:dyDescent="0.3">
      <c r="A124" s="5"/>
    </row>
    <row r="125" spans="1:9" x14ac:dyDescent="0.3">
      <c r="A125" s="30" t="s">
        <v>42</v>
      </c>
      <c r="B125" s="30"/>
      <c r="C125" s="30"/>
      <c r="D125" s="30"/>
      <c r="E125" s="30"/>
      <c r="F125" s="30"/>
      <c r="G125" s="30"/>
      <c r="H125" s="30"/>
      <c r="I125" s="30"/>
    </row>
    <row r="126" spans="1:9" x14ac:dyDescent="0.3">
      <c r="A126" s="30" t="s">
        <v>43</v>
      </c>
      <c r="B126" s="30"/>
      <c r="C126" s="30"/>
      <c r="D126" s="30"/>
      <c r="E126" s="30"/>
      <c r="F126" s="30"/>
      <c r="G126" s="30"/>
      <c r="H126" s="30"/>
      <c r="I126" s="30"/>
    </row>
    <row r="127" spans="1:9" x14ac:dyDescent="0.3">
      <c r="A127" s="30" t="s">
        <v>44</v>
      </c>
      <c r="B127" s="30"/>
      <c r="C127" s="30"/>
      <c r="D127" s="30"/>
      <c r="E127" s="30"/>
      <c r="F127" s="30"/>
      <c r="G127" s="30"/>
      <c r="H127" s="30"/>
      <c r="I127" s="30"/>
    </row>
    <row r="129" spans="1:9" x14ac:dyDescent="0.3">
      <c r="A129" s="33" t="s">
        <v>45</v>
      </c>
      <c r="B129" s="33"/>
      <c r="C129" s="33"/>
      <c r="D129" s="33"/>
      <c r="E129" s="33"/>
      <c r="F129" s="33"/>
      <c r="G129" s="33"/>
      <c r="H129" s="33"/>
      <c r="I129" s="33"/>
    </row>
    <row r="130" spans="1:9" x14ac:dyDescent="0.3">
      <c r="A130" s="33"/>
      <c r="B130" s="33"/>
      <c r="C130" s="33"/>
      <c r="D130" s="33"/>
      <c r="E130" s="33"/>
      <c r="F130" s="33"/>
      <c r="G130" s="33"/>
      <c r="H130" s="33"/>
      <c r="I130" s="33"/>
    </row>
    <row r="131" spans="1:9" x14ac:dyDescent="0.3">
      <c r="A131" s="30" t="s">
        <v>46</v>
      </c>
      <c r="B131" s="30"/>
      <c r="C131" s="30"/>
      <c r="D131" s="30"/>
      <c r="E131" s="30"/>
      <c r="F131" s="30"/>
      <c r="G131" s="30"/>
      <c r="H131" s="30"/>
      <c r="I131" s="30"/>
    </row>
    <row r="132" spans="1:9" ht="15" x14ac:dyDescent="0.3">
      <c r="A132" s="30" t="s">
        <v>47</v>
      </c>
      <c r="B132" s="30"/>
      <c r="C132" s="30"/>
      <c r="D132" s="30"/>
      <c r="E132" s="30"/>
      <c r="F132" s="30"/>
      <c r="G132" s="30"/>
      <c r="H132" s="30"/>
      <c r="I132" s="30"/>
    </row>
    <row r="133" spans="1:9" x14ac:dyDescent="0.3">
      <c r="A133" s="30" t="s">
        <v>48</v>
      </c>
      <c r="B133" s="30"/>
      <c r="C133" s="30"/>
      <c r="D133" s="30"/>
      <c r="E133" s="30"/>
      <c r="F133" s="30"/>
      <c r="G133" s="30"/>
      <c r="H133" s="30"/>
      <c r="I133" s="30"/>
    </row>
    <row r="134" spans="1:9" x14ac:dyDescent="0.3">
      <c r="A134" s="5"/>
    </row>
    <row r="135" spans="1:9" x14ac:dyDescent="0.3">
      <c r="A135" s="30" t="s">
        <v>49</v>
      </c>
      <c r="B135" s="30"/>
      <c r="C135" s="30"/>
      <c r="D135" s="30"/>
      <c r="E135" s="30"/>
      <c r="F135" s="30"/>
      <c r="G135" s="30"/>
      <c r="H135" s="30"/>
      <c r="I135" s="30"/>
    </row>
    <row r="136" spans="1:9" ht="15" x14ac:dyDescent="0.3">
      <c r="A136" s="30" t="s">
        <v>50</v>
      </c>
      <c r="B136" s="30"/>
      <c r="C136" s="30"/>
      <c r="D136" s="30"/>
      <c r="E136" s="30"/>
      <c r="F136" s="30"/>
      <c r="G136" s="30"/>
      <c r="H136" s="30"/>
      <c r="I136" s="30"/>
    </row>
    <row r="137" spans="1:9" x14ac:dyDescent="0.3">
      <c r="A137" s="30" t="s">
        <v>51</v>
      </c>
      <c r="B137" s="30"/>
      <c r="C137" s="30"/>
      <c r="D137" s="30"/>
      <c r="E137" s="30"/>
      <c r="F137" s="30"/>
      <c r="G137" s="30"/>
      <c r="H137" s="30"/>
      <c r="I137" s="30"/>
    </row>
    <row r="138" spans="1:9" x14ac:dyDescent="0.3">
      <c r="A138" s="5"/>
    </row>
    <row r="139" spans="1:9" x14ac:dyDescent="0.3">
      <c r="A139" s="30" t="s">
        <v>52</v>
      </c>
      <c r="B139" s="30"/>
      <c r="C139" s="30"/>
      <c r="D139" s="30"/>
      <c r="E139" s="30"/>
      <c r="F139" s="30"/>
      <c r="G139" s="30"/>
      <c r="H139" s="30"/>
      <c r="I139" s="30"/>
    </row>
    <row r="140" spans="1:9" ht="15" x14ac:dyDescent="0.3">
      <c r="A140" s="30" t="s">
        <v>53</v>
      </c>
      <c r="B140" s="30"/>
      <c r="C140" s="30"/>
      <c r="D140" s="30"/>
      <c r="E140" s="30"/>
      <c r="F140" s="30"/>
      <c r="G140" s="30"/>
      <c r="H140" s="30"/>
      <c r="I140" s="30"/>
    </row>
    <row r="141" spans="1:9" x14ac:dyDescent="0.3">
      <c r="A141" s="30" t="s">
        <v>54</v>
      </c>
      <c r="B141" s="30"/>
      <c r="C141" s="30"/>
      <c r="D141" s="30"/>
      <c r="E141" s="30"/>
      <c r="F141" s="30"/>
      <c r="G141" s="30"/>
      <c r="H141" s="30"/>
      <c r="I141" s="30"/>
    </row>
    <row r="142" spans="1:9" x14ac:dyDescent="0.3">
      <c r="A142" s="5"/>
    </row>
    <row r="143" spans="1:9" x14ac:dyDescent="0.3">
      <c r="A143" s="30" t="s">
        <v>55</v>
      </c>
      <c r="B143" s="30"/>
      <c r="C143" s="30"/>
      <c r="D143" s="30"/>
      <c r="E143" s="30"/>
      <c r="F143" s="30"/>
      <c r="G143" s="30"/>
      <c r="H143" s="30"/>
      <c r="I143" s="30"/>
    </row>
    <row r="144" spans="1:9" ht="15" x14ac:dyDescent="0.3">
      <c r="A144" s="30" t="s">
        <v>56</v>
      </c>
      <c r="B144" s="30"/>
      <c r="C144" s="30"/>
      <c r="D144" s="30"/>
      <c r="E144" s="30"/>
      <c r="F144" s="30"/>
      <c r="G144" s="30"/>
      <c r="H144" s="30"/>
      <c r="I144" s="30"/>
    </row>
    <row r="145" spans="1:9" x14ac:dyDescent="0.3">
      <c r="A145" s="30" t="s">
        <v>57</v>
      </c>
      <c r="B145" s="30"/>
      <c r="C145" s="30"/>
      <c r="D145" s="30"/>
      <c r="E145" s="30"/>
      <c r="F145" s="30"/>
      <c r="G145" s="30"/>
      <c r="H145" s="30"/>
      <c r="I145" s="30"/>
    </row>
    <row r="147" spans="1:9" x14ac:dyDescent="0.3">
      <c r="A147" s="30" t="s">
        <v>58</v>
      </c>
      <c r="B147" s="30"/>
      <c r="C147" s="30"/>
      <c r="D147" s="30"/>
      <c r="E147" s="30"/>
      <c r="F147" s="30"/>
      <c r="G147" s="30"/>
      <c r="H147" s="30"/>
      <c r="I147" s="30"/>
    </row>
    <row r="148" spans="1:9" x14ac:dyDescent="0.3">
      <c r="A148" s="5"/>
    </row>
    <row r="149" spans="1:9" x14ac:dyDescent="0.3">
      <c r="A149" s="34" t="s">
        <v>59</v>
      </c>
      <c r="B149" s="34"/>
      <c r="C149" s="34"/>
      <c r="D149" s="34"/>
      <c r="E149" s="34"/>
      <c r="F149" s="34"/>
      <c r="G149" s="34"/>
      <c r="H149" s="34"/>
      <c r="I149" s="34"/>
    </row>
    <row r="150" spans="1:9" x14ac:dyDescent="0.3">
      <c r="A150" s="5"/>
    </row>
    <row r="151" spans="1:9" x14ac:dyDescent="0.3">
      <c r="A151" s="34" t="s">
        <v>60</v>
      </c>
      <c r="B151" s="34"/>
      <c r="C151" s="34"/>
      <c r="D151" s="34"/>
      <c r="E151" s="34"/>
      <c r="F151" s="34"/>
      <c r="G151" s="34"/>
      <c r="H151" s="34"/>
      <c r="I151" s="34"/>
    </row>
    <row r="152" spans="1:9" x14ac:dyDescent="0.3">
      <c r="A152" s="5"/>
    </row>
    <row r="153" spans="1:9" x14ac:dyDescent="0.3">
      <c r="A153" s="34" t="s">
        <v>61</v>
      </c>
      <c r="B153" s="34"/>
      <c r="C153" s="34"/>
      <c r="D153" s="34"/>
      <c r="E153" s="34"/>
      <c r="F153" s="34"/>
      <c r="G153" s="34"/>
      <c r="H153" s="34"/>
      <c r="I153" s="34"/>
    </row>
    <row r="154" spans="1:9" x14ac:dyDescent="0.3">
      <c r="A154" s="5"/>
    </row>
    <row r="155" spans="1:9" x14ac:dyDescent="0.3">
      <c r="A155" s="34" t="s">
        <v>62</v>
      </c>
      <c r="B155" s="34"/>
      <c r="C155" s="34"/>
      <c r="D155" s="34"/>
      <c r="E155" s="34"/>
      <c r="F155" s="34"/>
      <c r="G155" s="34"/>
      <c r="H155" s="34"/>
      <c r="I155" s="34"/>
    </row>
  </sheetData>
  <mergeCells count="42">
    <mergeCell ref="A155:I155"/>
    <mergeCell ref="A137:I137"/>
    <mergeCell ref="A139:I139"/>
    <mergeCell ref="A140:I140"/>
    <mergeCell ref="A141:I141"/>
    <mergeCell ref="A143:I143"/>
    <mergeCell ref="A144:I144"/>
    <mergeCell ref="A145:I145"/>
    <mergeCell ref="A147:I147"/>
    <mergeCell ref="A149:I149"/>
    <mergeCell ref="A151:I151"/>
    <mergeCell ref="A153:I153"/>
    <mergeCell ref="A136:I136"/>
    <mergeCell ref="A121:I121"/>
    <mergeCell ref="A122:I122"/>
    <mergeCell ref="A123:I123"/>
    <mergeCell ref="A125:I125"/>
    <mergeCell ref="A126:I126"/>
    <mergeCell ref="A127:I127"/>
    <mergeCell ref="A129:I130"/>
    <mergeCell ref="A131:I131"/>
    <mergeCell ref="A132:I132"/>
    <mergeCell ref="A133:I133"/>
    <mergeCell ref="A135:I135"/>
    <mergeCell ref="A119:G119"/>
    <mergeCell ref="A103:I103"/>
    <mergeCell ref="A105:I105"/>
    <mergeCell ref="A106:I106"/>
    <mergeCell ref="A107:I107"/>
    <mergeCell ref="A109:I109"/>
    <mergeCell ref="A110:I110"/>
    <mergeCell ref="A111:I111"/>
    <mergeCell ref="A113:I113"/>
    <mergeCell ref="A114:I114"/>
    <mergeCell ref="A115:I115"/>
    <mergeCell ref="A118:G118"/>
    <mergeCell ref="A102:I102"/>
    <mergeCell ref="A95:I96"/>
    <mergeCell ref="A97:I97"/>
    <mergeCell ref="A98:I98"/>
    <mergeCell ref="A99:I99"/>
    <mergeCell ref="A101:I1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Yemul</dc:creator>
  <cp:lastModifiedBy>Rakesh Yemul</cp:lastModifiedBy>
  <cp:lastPrinted>2025-12-08T14:19:57Z</cp:lastPrinted>
  <dcterms:created xsi:type="dcterms:W3CDTF">2025-12-08T06:44:04Z</dcterms:created>
  <dcterms:modified xsi:type="dcterms:W3CDTF">2025-12-08T14:20:48Z</dcterms:modified>
</cp:coreProperties>
</file>